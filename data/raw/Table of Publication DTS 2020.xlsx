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dts\RELEASE 2020\DOKUMEN\"/>
    </mc:Choice>
  </mc:AlternateContent>
  <bookViews>
    <workbookView xWindow="0" yWindow="0" windowWidth="28800" windowHeight="12435" tabRatio="405" firstSheet="1" activeTab="11"/>
  </bookViews>
  <sheets>
    <sheet name="1" sheetId="1" r:id="rId1"/>
    <sheet name="2 &amp; 3" sheetId="2" r:id="rId2"/>
    <sheet name="4 &amp; 5" sheetId="3" r:id="rId3"/>
    <sheet name="6" sheetId="19" r:id="rId4"/>
    <sheet name="7" sheetId="5" r:id="rId5"/>
    <sheet name="8A" sheetId="12" r:id="rId6"/>
    <sheet name="8B" sheetId="15" r:id="rId7"/>
    <sheet name="9" sheetId="7" r:id="rId8"/>
    <sheet name="10" sheetId="11" r:id="rId9"/>
    <sheet name="11 &amp; 12" sheetId="9" r:id="rId10"/>
    <sheet name="13" sheetId="10" r:id="rId11"/>
    <sheet name="13(2)" sheetId="13" r:id="rId12"/>
  </sheets>
  <definedNames>
    <definedName name="_xlnm.Print_Area" localSheetId="0">'1'!$A$1:$J$23</definedName>
    <definedName name="_xlnm.Print_Area" localSheetId="8">'10'!$A$1:$T$24</definedName>
    <definedName name="_xlnm.Print_Area" localSheetId="9">'11 &amp; 12'!$A$1:$H$35</definedName>
    <definedName name="_xlnm.Print_Area" localSheetId="10">'13'!$A$1:$D$45</definedName>
    <definedName name="_xlnm.Print_Area" localSheetId="11">'13(2)'!$A$1:$D$29</definedName>
    <definedName name="_xlnm.Print_Area" localSheetId="1">'2 &amp; 3'!$A$1:$M$36</definedName>
    <definedName name="_xlnm.Print_Area" localSheetId="2">'4 &amp; 5'!$A$1:$I$31</definedName>
    <definedName name="_xlnm.Print_Area" localSheetId="3">'6'!$A$1:$E$22</definedName>
    <definedName name="_xlnm.Print_Area" localSheetId="4">'7'!$A$1:$F$17</definedName>
    <definedName name="_xlnm.Print_Area" localSheetId="5">'8A'!$A$1:$J$13</definedName>
    <definedName name="_xlnm.Print_Area" localSheetId="6">'8B'!$A$1:$J$14</definedName>
    <definedName name="_xlnm.Print_Area" localSheetId="7">'9'!$A$1:$I$25</definedName>
    <definedName name="_xlnm.Print_Titles" localSheetId="10">'13'!$1:$3</definedName>
  </definedNames>
  <calcPr calcId="152511"/>
</workbook>
</file>

<file path=xl/calcChain.xml><?xml version="1.0" encoding="utf-8"?>
<calcChain xmlns="http://schemas.openxmlformats.org/spreadsheetml/2006/main">
  <c r="B8" i="19" l="1"/>
  <c r="C8" i="19"/>
  <c r="D8" i="19"/>
  <c r="D10" i="19"/>
  <c r="D12" i="19"/>
  <c r="D14" i="19"/>
  <c r="D16" i="19"/>
  <c r="D19" i="19" s="1"/>
  <c r="B19" i="19"/>
  <c r="D9" i="19" s="1"/>
  <c r="C19" i="19"/>
  <c r="E9" i="19" s="1"/>
  <c r="E16" i="19" l="1"/>
  <c r="E14" i="19"/>
  <c r="E12" i="19"/>
  <c r="E10" i="19"/>
  <c r="E8" i="19"/>
  <c r="E19" i="19" s="1"/>
  <c r="E15" i="19"/>
  <c r="E13" i="19"/>
  <c r="E11" i="19"/>
  <c r="D15" i="19"/>
  <c r="D13" i="19"/>
  <c r="D11" i="19"/>
</calcChain>
</file>

<file path=xl/sharedStrings.xml><?xml version="1.0" encoding="utf-8"?>
<sst xmlns="http://schemas.openxmlformats.org/spreadsheetml/2006/main" count="388" uniqueCount="249">
  <si>
    <t>Jadual 1: Statistik Penting Pelancongan Domestik, 2013 - 2020</t>
  </si>
  <si>
    <t>Table 1: Key Statistics of Domestic Tourism, 2013 - 2020</t>
  </si>
  <si>
    <t>Statistik Penting </t>
  </si>
  <si>
    <t>Key Statistics</t>
  </si>
  <si>
    <r>
      <rPr>
        <b/>
        <sz val="10"/>
        <color rgb="FF000000"/>
        <rFont val="Century Gothic"/>
        <charset val="134"/>
      </rPr>
      <t xml:space="preserve">Jumlah Perbelanjaan (RM juta)
</t>
    </r>
    <r>
      <rPr>
        <i/>
        <sz val="9"/>
        <color indexed="8"/>
        <rFont val="Century Gothic"/>
        <charset val="134"/>
      </rPr>
      <t>Total Expenditure (RM million)</t>
    </r>
  </si>
  <si>
    <r>
      <rPr>
        <b/>
        <sz val="10"/>
        <color rgb="FF000000"/>
        <rFont val="Century Gothic"/>
        <charset val="134"/>
      </rPr>
      <t xml:space="preserve">Pelawat Domestik
</t>
    </r>
    <r>
      <rPr>
        <i/>
        <sz val="9"/>
        <color indexed="8"/>
        <rFont val="Century Gothic"/>
        <charset val="134"/>
      </rPr>
      <t>Domestic Visitors</t>
    </r>
  </si>
  <si>
    <r>
      <rPr>
        <b/>
        <sz val="10"/>
        <color rgb="FF000000"/>
        <rFont val="Century Gothic"/>
        <charset val="134"/>
      </rPr>
      <t xml:space="preserve">Isi Rumah yang Dilawati
</t>
    </r>
    <r>
      <rPr>
        <i/>
        <sz val="9"/>
        <color indexed="8"/>
        <rFont val="Century Gothic"/>
        <charset val="134"/>
      </rPr>
      <t>Visited Households</t>
    </r>
  </si>
  <si>
    <r>
      <rPr>
        <b/>
        <sz val="10"/>
        <color theme="1"/>
        <rFont val="Century Gothic"/>
        <charset val="134"/>
      </rPr>
      <t xml:space="preserve">Peratus Perubahan Tahunan (%)
</t>
    </r>
    <r>
      <rPr>
        <i/>
        <sz val="9"/>
        <color theme="1"/>
        <rFont val="Century Gothic"/>
        <charset val="134"/>
      </rPr>
      <t>Annual Percentage Change</t>
    </r>
  </si>
  <si>
    <r>
      <rPr>
        <b/>
        <sz val="10"/>
        <color rgb="FF000000"/>
        <rFont val="Century Gothic"/>
        <charset val="134"/>
      </rPr>
      <t xml:space="preserve">Jumlah Pelawat (’000)
</t>
    </r>
    <r>
      <rPr>
        <i/>
        <sz val="9"/>
        <color indexed="8"/>
        <rFont val="Century Gothic"/>
        <charset val="134"/>
      </rPr>
      <t>Number of Visitors</t>
    </r>
  </si>
  <si>
    <r>
      <rPr>
        <b/>
        <sz val="10"/>
        <color theme="1"/>
        <rFont val="Century Gothic"/>
        <charset val="134"/>
      </rPr>
      <t xml:space="preserve">Peratus Perubahan Tahunan (%)
</t>
    </r>
    <r>
      <rPr>
        <i/>
        <sz val="9"/>
        <color theme="1"/>
        <rFont val="Century Gothic"/>
        <charset val="134"/>
      </rPr>
      <t>Annual Percentage Change</t>
    </r>
    <r>
      <rPr>
        <b/>
        <i/>
        <sz val="10"/>
        <color theme="1"/>
        <rFont val="Century Gothic"/>
        <charset val="134"/>
      </rPr>
      <t xml:space="preserve">     </t>
    </r>
  </si>
  <si>
    <r>
      <rPr>
        <b/>
        <sz val="10"/>
        <color rgb="FF000000"/>
        <rFont val="Century Gothic"/>
        <charset val="134"/>
      </rPr>
      <t xml:space="preserve">Jumlah Perjalanan Pelancongan (’000)
</t>
    </r>
    <r>
      <rPr>
        <i/>
        <sz val="9"/>
        <color indexed="8"/>
        <rFont val="Century Gothic"/>
        <charset val="134"/>
      </rPr>
      <t>Number of Tourism Trips</t>
    </r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</si>
  <si>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9"/>
        <color indexed="8"/>
        <rFont val="Century Gothic"/>
        <charset val="134"/>
      </rPr>
      <t>Average Length of Stay</t>
    </r>
  </si>
  <si>
    <r>
      <rPr>
        <b/>
        <sz val="10"/>
        <color rgb="FF000000"/>
        <rFont val="Century Gothic"/>
        <charset val="134"/>
      </rPr>
      <t>Purata Perbelanjaan</t>
    </r>
    <r>
      <rPr>
        <b/>
        <i/>
        <sz val="10"/>
        <color indexed="8"/>
        <rFont val="Century Gothic"/>
        <charset val="134"/>
      </rPr>
      <t xml:space="preserve"> </t>
    </r>
    <r>
      <rPr>
        <b/>
        <sz val="10"/>
        <color indexed="8"/>
        <rFont val="Century Gothic"/>
        <charset val="134"/>
      </rPr>
      <t>per Perjalanan (RM)</t>
    </r>
    <r>
      <rPr>
        <b/>
        <i/>
        <sz val="10"/>
        <color indexed="8"/>
        <rFont val="Century Gothic"/>
        <charset val="134"/>
      </rPr>
      <t xml:space="preserve">                                             
</t>
    </r>
    <r>
      <rPr>
        <i/>
        <sz val="9"/>
        <color indexed="8"/>
        <rFont val="Century Gothic"/>
        <charset val="134"/>
      </rPr>
      <t>Average Expenditure per Trip (RM)</t>
    </r>
  </si>
  <si>
    <t>Jadual 2: Bilangan Pelawat Domestik mengikut Jenis Pelawat dan Strata, 2019 dan 2020</t>
  </si>
  <si>
    <t>Table 2: Number of Domestic Visitors by Type of Visitors and Strata, 2019 and 2020</t>
  </si>
  <si>
    <r>
      <rPr>
        <b/>
        <sz val="10"/>
        <rFont val="Century Gothic"/>
        <charset val="134"/>
      </rPr>
      <t xml:space="preserve">Jenis Pelawat/ </t>
    </r>
    <r>
      <rPr>
        <i/>
        <sz val="10"/>
        <rFont val="Century Gothic"/>
        <charset val="134"/>
      </rPr>
      <t xml:space="preserve">Type of Visitor </t>
    </r>
  </si>
  <si>
    <r>
      <rPr>
        <b/>
        <sz val="10"/>
        <rFont val="Century Gothic"/>
        <charset val="134"/>
      </rPr>
      <t xml:space="preserve">Peratus Sumbangan </t>
    </r>
    <r>
      <rPr>
        <i/>
        <sz val="10"/>
        <rFont val="Century Gothic"/>
        <charset val="134"/>
      </rPr>
      <t xml:space="preserve">Percentage Share </t>
    </r>
  </si>
  <si>
    <r>
      <rPr>
        <b/>
        <sz val="10"/>
        <rFont val="Century Gothic"/>
        <charset val="134"/>
      </rPr>
      <t xml:space="preserve">Strata / </t>
    </r>
    <r>
      <rPr>
        <i/>
        <sz val="10"/>
        <rFont val="Century Gothic"/>
        <charset val="134"/>
      </rPr>
      <t>Strata</t>
    </r>
  </si>
  <si>
    <r>
      <rPr>
        <b/>
        <sz val="10"/>
        <rFont val="Century Gothic"/>
        <charset val="134"/>
      </rPr>
      <t xml:space="preserve">Jumlah  </t>
    </r>
    <r>
      <rPr>
        <i/>
        <sz val="10"/>
        <rFont val="Century Gothic"/>
        <charset val="134"/>
      </rPr>
      <t xml:space="preserve">Total </t>
    </r>
    <r>
      <rPr>
        <b/>
        <i/>
        <sz val="10"/>
        <rFont val="Century Gothic"/>
        <charset val="134"/>
      </rPr>
      <t xml:space="preserve">              </t>
    </r>
  </si>
  <si>
    <r>
      <rPr>
        <b/>
        <sz val="10"/>
        <rFont val="Century Gothic"/>
        <charset val="134"/>
      </rPr>
      <t xml:space="preserve">Bandar      </t>
    </r>
    <r>
      <rPr>
        <i/>
        <sz val="10"/>
        <rFont val="Century Gothic"/>
        <charset val="134"/>
      </rPr>
      <t>Urban</t>
    </r>
  </si>
  <si>
    <r>
      <rPr>
        <b/>
        <sz val="10"/>
        <rFont val="Century Gothic"/>
        <charset val="134"/>
      </rPr>
      <t xml:space="preserve">Luar Bandar </t>
    </r>
    <r>
      <rPr>
        <i/>
        <sz val="10"/>
        <rFont val="Century Gothic"/>
        <charset val="134"/>
      </rPr>
      <t>Rural</t>
    </r>
  </si>
  <si>
    <t>(%)</t>
  </si>
  <si>
    <t>('000)</t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</si>
  <si>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 xml:space="preserve">Total </t>
    </r>
  </si>
  <si>
    <r>
      <rPr>
        <b/>
        <sz val="10"/>
        <rFont val="Century Gothic"/>
        <charset val="134"/>
      </rPr>
      <t xml:space="preserve">Pelawat Harian/ </t>
    </r>
    <r>
      <rPr>
        <i/>
        <sz val="10"/>
        <rFont val="Century Gothic"/>
        <charset val="134"/>
      </rPr>
      <t xml:space="preserve">Excursionists                                          </t>
    </r>
  </si>
  <si>
    <r>
      <rPr>
        <b/>
        <sz val="10"/>
        <rFont val="Century Gothic"/>
        <charset val="134"/>
      </rPr>
      <t xml:space="preserve">Pelancong/ </t>
    </r>
    <r>
      <rPr>
        <i/>
        <sz val="10"/>
        <rFont val="Century Gothic"/>
        <charset val="134"/>
      </rPr>
      <t xml:space="preserve">Tourists   </t>
    </r>
  </si>
  <si>
    <t>Jadual 3: Bilangan Perjalanan dan Perbelanjaan Pelancongan Domestik mengikut Strata, 2019 dan 2020</t>
  </si>
  <si>
    <t>Table 3: Number of Domestic Tourism Trips and Expenditure by Strata, 2019 and 2020</t>
  </si>
  <si>
    <r>
      <rPr>
        <b/>
        <sz val="10"/>
        <rFont val="Century Gothic"/>
        <charset val="134"/>
      </rPr>
      <t xml:space="preserve">Peratus Sumbangan </t>
    </r>
    <r>
      <rPr>
        <i/>
        <sz val="10"/>
        <rFont val="Century Gothic"/>
        <charset val="134"/>
      </rPr>
      <t>Percentage Share</t>
    </r>
  </si>
  <si>
    <r>
      <rPr>
        <b/>
        <sz val="10"/>
        <rFont val="Century Gothic"/>
        <charset val="134"/>
      </rPr>
      <t xml:space="preserve">Bandar     </t>
    </r>
    <r>
      <rPr>
        <i/>
        <sz val="10"/>
        <rFont val="Century Gothic"/>
        <charset val="134"/>
      </rPr>
      <t>Urban</t>
    </r>
  </si>
  <si>
    <r>
      <rPr>
        <b/>
        <sz val="10"/>
        <rFont val="Century Gothic"/>
        <charset val="134"/>
      </rPr>
      <t xml:space="preserve">Jumlah/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</si>
  <si>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 xml:space="preserve">Perjalanan Harian/ </t>
    </r>
    <r>
      <rPr>
        <i/>
        <sz val="10"/>
        <rFont val="Century Gothic"/>
        <charset val="134"/>
      </rPr>
      <t>Same Day Trip</t>
    </r>
    <r>
      <rPr>
        <b/>
        <i/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                                           </t>
    </r>
  </si>
  <si>
    <r>
      <rPr>
        <b/>
        <sz val="10"/>
        <rFont val="Century Gothic"/>
        <charset val="134"/>
      </rPr>
      <t xml:space="preserve">Perjalanan Bermalam/ </t>
    </r>
    <r>
      <rPr>
        <i/>
        <sz val="10"/>
        <rFont val="Century Gothic"/>
        <charset val="134"/>
      </rPr>
      <t xml:space="preserve">Overnight Trip </t>
    </r>
  </si>
  <si>
    <r>
      <rPr>
        <b/>
        <sz val="10"/>
        <rFont val="Century Gothic"/>
        <charset val="134"/>
      </rPr>
      <t>(RM juta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>million</t>
    </r>
    <r>
      <rPr>
        <b/>
        <sz val="10"/>
        <rFont val="Century Gothic"/>
        <charset val="134"/>
      </rPr>
      <t>)</t>
    </r>
  </si>
  <si>
    <r>
      <rPr>
        <b/>
        <sz val="10"/>
        <rFont val="Century Gothic"/>
        <charset val="134"/>
      </rPr>
      <t xml:space="preserve">Perbelanjaan Harian/ </t>
    </r>
    <r>
      <rPr>
        <i/>
        <sz val="10"/>
        <rFont val="Century Gothic"/>
        <charset val="134"/>
      </rPr>
      <t xml:space="preserve">Same Day Expenditure                                           </t>
    </r>
  </si>
  <si>
    <r>
      <rPr>
        <b/>
        <sz val="10"/>
        <rFont val="Century Gothic"/>
        <charset val="134"/>
      </rPr>
      <t xml:space="preserve">Perbelanjaan Bermalam/ </t>
    </r>
    <r>
      <rPr>
        <i/>
        <sz val="10"/>
        <rFont val="Century Gothic"/>
        <charset val="134"/>
      </rPr>
      <t>Overnight</t>
    </r>
    <r>
      <rPr>
        <sz val="10"/>
        <rFont val="Century Gothic"/>
        <charset val="134"/>
      </rPr>
      <t xml:space="preserve"> </t>
    </r>
    <r>
      <rPr>
        <i/>
        <sz val="10"/>
        <rFont val="Century Gothic"/>
        <charset val="134"/>
      </rPr>
      <t xml:space="preserve">Expenditure </t>
    </r>
  </si>
  <si>
    <t>(RM)</t>
  </si>
  <si>
    <r>
      <rPr>
        <b/>
        <sz val="10"/>
        <rFont val="Century Gothic"/>
        <charset val="134"/>
      </rPr>
      <t xml:space="preserve">Purata Perbelanjaan Harian per Perjalanan
</t>
    </r>
    <r>
      <rPr>
        <i/>
        <sz val="10"/>
        <rFont val="Century Gothic"/>
        <charset val="134"/>
      </rPr>
      <t xml:space="preserve">Average Same Day Expenditure per Trip      </t>
    </r>
  </si>
  <si>
    <r>
      <rPr>
        <b/>
        <sz val="10"/>
        <rFont val="Century Gothic"/>
        <charset val="134"/>
      </rPr>
      <t xml:space="preserve">Purata Perbelanjaan Bermalam per Perjalanan
</t>
    </r>
    <r>
      <rPr>
        <i/>
        <sz val="10"/>
        <rFont val="Century Gothic"/>
        <charset val="134"/>
      </rPr>
      <t xml:space="preserve">Average Overnight Expenditure per Trip                     </t>
    </r>
  </si>
  <si>
    <t xml:space="preserve">                                          </t>
  </si>
  <si>
    <t>Jadual 4: Bilangan Perjalanan Pelancongan Domestik mengikut Jenis Perjalanan dan Strata, 2019 dan 2020</t>
  </si>
  <si>
    <t>Table 4 : Number of Domestic Tourism Trips by Type of Trips and Strata, 2019 and 2020</t>
  </si>
  <si>
    <r>
      <rPr>
        <b/>
        <sz val="10"/>
        <rFont val="Century Gothic"/>
        <charset val="134"/>
      </rPr>
      <t xml:space="preserve">Jenis Perjalanan
</t>
    </r>
    <r>
      <rPr>
        <i/>
        <sz val="10"/>
        <rFont val="Century Gothic"/>
        <charset val="134"/>
      </rPr>
      <t>Type of Trip</t>
    </r>
  </si>
  <si>
    <r>
      <rPr>
        <b/>
        <sz val="10"/>
        <rFont val="Century Gothic"/>
        <charset val="134"/>
      </rPr>
      <t xml:space="preserve">Jumlah
</t>
    </r>
    <r>
      <rPr>
        <i/>
        <sz val="10"/>
        <rFont val="Century Gothic"/>
        <charset val="134"/>
      </rPr>
      <t xml:space="preserve">Total </t>
    </r>
    <r>
      <rPr>
        <b/>
        <i/>
        <sz val="10"/>
        <rFont val="Century Gothic"/>
        <charset val="134"/>
      </rPr>
      <t xml:space="preserve">              </t>
    </r>
  </si>
  <si>
    <r>
      <rPr>
        <b/>
        <sz val="10"/>
        <rFont val="Century Gothic"/>
        <charset val="134"/>
      </rPr>
      <t xml:space="preserve">Bandar
</t>
    </r>
    <r>
      <rPr>
        <i/>
        <sz val="10"/>
        <rFont val="Century Gothic"/>
        <charset val="134"/>
      </rPr>
      <t>Urban</t>
    </r>
  </si>
  <si>
    <r>
      <rPr>
        <b/>
        <sz val="10"/>
        <rFont val="Century Gothic"/>
        <charset val="134"/>
      </rPr>
      <t xml:space="preserve">Luar Bandar
</t>
    </r>
    <r>
      <rPr>
        <i/>
        <sz val="10"/>
        <rFont val="Century Gothic"/>
        <charset val="134"/>
      </rPr>
      <t>Rural</t>
    </r>
  </si>
  <si>
    <r>
      <rPr>
        <b/>
        <sz val="10"/>
        <color rgb="FF000000"/>
        <rFont val="Century Gothic"/>
        <charset val="134"/>
      </rPr>
      <t xml:space="preserve">Jumlah Perjalanan
</t>
    </r>
    <r>
      <rPr>
        <i/>
        <sz val="10"/>
        <color indexed="8"/>
        <rFont val="Century Gothic"/>
        <charset val="134"/>
      </rPr>
      <t>Total Trips</t>
    </r>
  </si>
  <si>
    <r>
      <rPr>
        <b/>
        <sz val="10"/>
        <color rgb="FF000000"/>
        <rFont val="Century Gothic"/>
        <charset val="134"/>
      </rPr>
      <t xml:space="preserve">Individu
</t>
    </r>
    <r>
      <rPr>
        <i/>
        <sz val="10"/>
        <color indexed="8"/>
        <rFont val="Century Gothic"/>
        <charset val="134"/>
      </rPr>
      <t>Individual</t>
    </r>
  </si>
  <si>
    <r>
      <rPr>
        <b/>
        <sz val="10"/>
        <color rgb="FF000000"/>
        <rFont val="Century Gothic"/>
        <charset val="134"/>
      </rPr>
      <t>Perjalanan Harian</t>
    </r>
    <r>
      <rPr>
        <sz val="10"/>
        <color indexed="8"/>
        <rFont val="Century Gothic"/>
        <charset val="134"/>
      </rPr>
      <t xml:space="preserve">
</t>
    </r>
    <r>
      <rPr>
        <i/>
        <sz val="10"/>
        <color indexed="8"/>
        <rFont val="Century Gothic"/>
        <charset val="134"/>
      </rPr>
      <t>Same Day Trip</t>
    </r>
  </si>
  <si>
    <r>
      <rPr>
        <b/>
        <sz val="10"/>
        <color rgb="FF000000"/>
        <rFont val="Century Gothic"/>
        <charset val="134"/>
      </rPr>
      <t>Perjalanan Bermalam</t>
    </r>
    <r>
      <rPr>
        <sz val="10"/>
        <color indexed="8"/>
        <rFont val="Century Gothic"/>
        <charset val="134"/>
      </rPr>
      <t xml:space="preserve">
</t>
    </r>
    <r>
      <rPr>
        <i/>
        <sz val="10"/>
        <color indexed="8"/>
        <rFont val="Century Gothic"/>
        <charset val="134"/>
      </rPr>
      <t>Overnight Trip</t>
    </r>
  </si>
  <si>
    <r>
      <rPr>
        <b/>
        <sz val="10"/>
        <color rgb="FF000000"/>
        <rFont val="Century Gothic"/>
        <charset val="134"/>
      </rPr>
      <t xml:space="preserve">Bersama Keluarga
</t>
    </r>
    <r>
      <rPr>
        <i/>
        <sz val="10"/>
        <color indexed="8"/>
        <rFont val="Century Gothic"/>
        <charset val="134"/>
      </rPr>
      <t>With Family</t>
    </r>
  </si>
  <si>
    <r>
      <rPr>
        <b/>
        <sz val="10"/>
        <color rgb="FF000000"/>
        <rFont val="Century Gothic"/>
        <charset val="134"/>
      </rPr>
      <t xml:space="preserve">Perjalanan Harian
</t>
    </r>
    <r>
      <rPr>
        <i/>
        <sz val="10"/>
        <color indexed="8"/>
        <rFont val="Century Gothic"/>
        <charset val="134"/>
      </rPr>
      <t>Same Day Trip</t>
    </r>
  </si>
  <si>
    <r>
      <rPr>
        <b/>
        <sz val="10"/>
        <color rgb="FF000000"/>
        <rFont val="Century Gothic"/>
        <charset val="134"/>
      </rPr>
      <t xml:space="preserve">Perjalanan Bermalam
</t>
    </r>
    <r>
      <rPr>
        <i/>
        <sz val="10"/>
        <color indexed="8"/>
        <rFont val="Century Gothic"/>
        <charset val="134"/>
      </rPr>
      <t>Overnight Trip</t>
    </r>
  </si>
  <si>
    <t>Jadual 5: Purata Bilangan Hari Menginap bagi Pelancong mengikut Strata, 2019 dan 2020</t>
  </si>
  <si>
    <t>Table 5 : Average Length of Stay of Tourists by Strata, 2019 and 2020</t>
  </si>
  <si>
    <r>
      <rPr>
        <b/>
        <sz val="10"/>
        <color rgb="FF000000"/>
        <rFont val="Century Gothic"/>
        <charset val="134"/>
      </rPr>
      <t xml:space="preserve">Purata Bilangan Hari Menginap
</t>
    </r>
    <r>
      <rPr>
        <i/>
        <sz val="10"/>
        <color indexed="8"/>
        <rFont val="Century Gothic"/>
        <charset val="134"/>
      </rPr>
      <t>Average Length of Stay</t>
    </r>
  </si>
  <si>
    <r>
      <rPr>
        <b/>
        <sz val="10"/>
        <color rgb="FF000000"/>
        <rFont val="Century Gothic"/>
        <charset val="134"/>
      </rPr>
      <t xml:space="preserve">Perjalanan Bermalam (’000)
</t>
    </r>
    <r>
      <rPr>
        <i/>
        <sz val="10"/>
        <color indexed="8"/>
        <rFont val="Century Gothic"/>
        <charset val="134"/>
      </rPr>
      <t>Overnight Trip</t>
    </r>
  </si>
  <si>
    <r>
      <rPr>
        <b/>
        <sz val="10"/>
        <color rgb="FF000000"/>
        <rFont val="Century Gothic"/>
        <charset val="134"/>
      </rPr>
      <t xml:space="preserve">Bilangan Malam (’000)
</t>
    </r>
    <r>
      <rPr>
        <i/>
        <sz val="10"/>
        <color indexed="8"/>
        <rFont val="Century Gothic"/>
        <charset val="134"/>
      </rPr>
      <t>No. of Nights</t>
    </r>
  </si>
  <si>
    <t>Jadual 6: Perbelanjaan Pelawat Domestik mengikut Komponen, 2019 dan 2020</t>
  </si>
  <si>
    <t>Table 6: Expenditure of Domestic Visitors by Component, 2019 and 2020</t>
  </si>
  <si>
    <t>Jadual 7: Perjalanan Pelancongan Domestik mengikut Tujuan Utama dan Aktiviti, 2020</t>
  </si>
  <si>
    <t>Table 7: Domestic Tourism Trips by Main Purpose of Visit and Activities, 2020</t>
  </si>
  <si>
    <r>
      <rPr>
        <b/>
        <sz val="10"/>
        <rFont val="Century Gothic"/>
        <charset val="134"/>
      </rPr>
      <t xml:space="preserve">Tujuan
</t>
    </r>
    <r>
      <rPr>
        <i/>
        <sz val="10"/>
        <rFont val="Century Gothic"/>
        <charset val="134"/>
      </rPr>
      <t>Purpose</t>
    </r>
  </si>
  <si>
    <r>
      <rPr>
        <b/>
        <sz val="10"/>
        <rFont val="Century Gothic"/>
        <charset val="134"/>
      </rPr>
      <t xml:space="preserve">Peratus
Sumbangan
</t>
    </r>
    <r>
      <rPr>
        <i/>
        <sz val="10"/>
        <rFont val="Century Gothic"/>
        <charset val="134"/>
      </rPr>
      <t xml:space="preserve">Percentage
Share
</t>
    </r>
    <r>
      <rPr>
        <b/>
        <i/>
        <sz val="10"/>
        <rFont val="Century Gothic"/>
        <charset val="134"/>
      </rPr>
      <t>(%)</t>
    </r>
  </si>
  <si>
    <r>
      <rPr>
        <b/>
        <sz val="10"/>
        <rFont val="Century Gothic"/>
        <charset val="134"/>
      </rPr>
      <t xml:space="preserve">Aktiviti
</t>
    </r>
    <r>
      <rPr>
        <i/>
        <sz val="10"/>
        <rFont val="Century Gothic"/>
        <charset val="134"/>
      </rPr>
      <t>Activities</t>
    </r>
  </si>
  <si>
    <r>
      <rPr>
        <b/>
        <sz val="10"/>
        <color theme="1"/>
        <rFont val="Century Gothic"/>
        <charset val="134"/>
      </rPr>
      <t>Membeli-belah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Shopping</t>
    </r>
  </si>
  <si>
    <r>
      <rPr>
        <b/>
        <sz val="10"/>
        <color theme="1"/>
        <rFont val="Century Gothic"/>
        <charset val="134"/>
      </rPr>
      <t>Makan di luar/ restoran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Dining out/ restaurant</t>
    </r>
  </si>
  <si>
    <r>
      <rPr>
        <b/>
        <sz val="10"/>
        <color theme="1"/>
        <rFont val="Century Gothic"/>
        <charset val="134"/>
      </rPr>
      <t>Berehat &amp;
bersiar-siar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Rest &amp; sight seeing</t>
    </r>
  </si>
  <si>
    <r>
      <rPr>
        <b/>
        <sz val="10"/>
        <color theme="1"/>
        <rFont val="Century Gothic"/>
        <charset val="134"/>
      </rPr>
      <t>Wayang gambar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Movies</t>
    </r>
  </si>
  <si>
    <r>
      <rPr>
        <b/>
        <sz val="10"/>
        <color theme="1"/>
        <rFont val="Century Gothic"/>
        <charset val="134"/>
      </rPr>
      <t>Melawat saudara-mara &amp; rakan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Visiting relatives &amp; friends</t>
    </r>
  </si>
  <si>
    <r>
      <rPr>
        <b/>
        <sz val="10"/>
        <color theme="1"/>
        <rFont val="Century Gothic"/>
        <charset val="134"/>
      </rPr>
      <t>Percutian/ mengisi masa lapang/ berehat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Holiday/ leisure/ relaxation</t>
    </r>
  </si>
  <si>
    <r>
      <rPr>
        <b/>
        <sz val="10"/>
        <color theme="1"/>
        <rFont val="Century Gothic"/>
        <charset val="134"/>
      </rPr>
      <t>Aktiviti pantai/ laut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Beach/ sea activities</t>
    </r>
  </si>
  <si>
    <r>
      <rPr>
        <b/>
        <sz val="10"/>
        <color theme="1"/>
        <rFont val="Century Gothic"/>
        <charset val="134"/>
      </rPr>
      <t>Rawatan perubatan/ penjagaan diri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Medical treatment/ wellness</t>
    </r>
  </si>
  <si>
    <r>
      <rPr>
        <b/>
        <sz val="10"/>
        <color theme="1"/>
        <rFont val="Century Gothic"/>
        <charset val="134"/>
      </rPr>
      <t>Mendapat rawatan perubatan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Medical treatment</t>
    </r>
  </si>
  <si>
    <r>
      <rPr>
        <b/>
        <sz val="10"/>
        <color theme="1"/>
        <rFont val="Century Gothic"/>
        <charset val="134"/>
      </rPr>
      <t>Perjalanan insentif/ lain-lain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Incentive travel/ others</t>
    </r>
  </si>
  <si>
    <r>
      <rPr>
        <b/>
        <sz val="10"/>
        <color theme="1"/>
        <rFont val="Century Gothic"/>
        <charset val="134"/>
      </rPr>
      <t>Lain-lain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Others</t>
    </r>
  </si>
  <si>
    <r>
      <rPr>
        <b/>
        <sz val="10"/>
        <color theme="1"/>
        <rFont val="Century Gothic"/>
        <charset val="134"/>
      </rPr>
      <t>Hiburan/ menghadiri acara khas/ sukan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Entertainment/ attending special event/ sports</t>
    </r>
  </si>
  <si>
    <r>
      <rPr>
        <b/>
        <sz val="10"/>
        <color theme="1"/>
        <rFont val="Century Gothic"/>
        <charset val="134"/>
      </rPr>
      <t>Sukan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Sports</t>
    </r>
  </si>
  <si>
    <r>
      <rPr>
        <b/>
        <sz val="10"/>
        <color theme="1"/>
        <rFont val="Century Gothic"/>
        <charset val="134"/>
      </rPr>
      <t>Urusan rasmi/ pendidikan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Official business/ education</t>
    </r>
  </si>
  <si>
    <r>
      <rPr>
        <b/>
        <sz val="10"/>
        <color theme="1"/>
        <rFont val="Century Gothic"/>
        <charset val="134"/>
      </rPr>
      <t>Perniagaan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Business</t>
    </r>
  </si>
  <si>
    <r>
      <rPr>
        <b/>
        <sz val="10"/>
        <color theme="1"/>
        <rFont val="Century Gothic"/>
        <charset val="134"/>
      </rPr>
      <t>Persidangan/ seminar/ mesyuarat/ pameran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Conventions/ seminars/ meetings/ exhibitions</t>
    </r>
  </si>
  <si>
    <r>
      <rPr>
        <b/>
        <sz val="10"/>
        <color theme="1"/>
        <rFont val="Century Gothic"/>
        <charset val="134"/>
      </rPr>
      <t>Amal ibadat/ melawat rumah ibadat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Religious worship/ visit places of worship</t>
    </r>
  </si>
  <si>
    <r>
      <rPr>
        <b/>
        <sz val="10"/>
        <color theme="1"/>
        <rFont val="Century Gothic"/>
        <charset val="134"/>
      </rPr>
      <t>Amal ibadat</t>
    </r>
    <r>
      <rPr>
        <sz val="10"/>
        <color theme="1"/>
        <rFont val="Century Gothic"/>
        <charset val="134"/>
      </rPr>
      <t xml:space="preserve">
</t>
    </r>
    <r>
      <rPr>
        <i/>
        <sz val="10"/>
        <color theme="1"/>
        <rFont val="Century Gothic"/>
        <charset val="134"/>
      </rPr>
      <t>Religious worship</t>
    </r>
  </si>
  <si>
    <r>
      <rPr>
        <b/>
        <sz val="10"/>
        <color rgb="FF000000"/>
        <rFont val="Century Gothic"/>
        <charset val="134"/>
      </rPr>
      <t xml:space="preserve">Jumlah                                                                                                                                                       </t>
    </r>
    <r>
      <rPr>
        <i/>
        <sz val="10"/>
        <color indexed="8"/>
        <rFont val="Century Gothic"/>
        <charset val="134"/>
      </rPr>
      <t>Total</t>
    </r>
  </si>
  <si>
    <t>Jadual 8A: Lima Destinasi Tumpuan Pelawat Domestik, 2020</t>
  </si>
  <si>
    <t>Table 8A: Top Five Destinations Most Visited by Domestic Visitors, 2020</t>
  </si>
  <si>
    <r>
      <rPr>
        <b/>
        <sz val="10"/>
        <rFont val="Century Gothic"/>
        <charset val="134"/>
      </rPr>
      <t xml:space="preserve">Negeri
</t>
    </r>
    <r>
      <rPr>
        <i/>
        <sz val="10"/>
        <rFont val="Century Gothic"/>
        <charset val="134"/>
      </rPr>
      <t>State</t>
    </r>
  </si>
  <si>
    <r>
      <rPr>
        <b/>
        <sz val="10"/>
        <rFont val="Century Gothic"/>
        <charset val="134"/>
      </rPr>
      <t>Lima Destinasi Tumpuan Pelawat Domestik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Top Five Destinations Most Visited by Domestic Visitors</t>
    </r>
  </si>
  <si>
    <t xml:space="preserve">
Johor</t>
  </si>
  <si>
    <t xml:space="preserve">
Perlis</t>
  </si>
  <si>
    <t xml:space="preserve">
Kedah</t>
  </si>
  <si>
    <t xml:space="preserve">
Selangor</t>
  </si>
  <si>
    <t xml:space="preserve">
Kelantan</t>
  </si>
  <si>
    <t xml:space="preserve">
Terengganu</t>
  </si>
  <si>
    <t xml:space="preserve">
Melaka</t>
  </si>
  <si>
    <t xml:space="preserve">
Sabah</t>
  </si>
  <si>
    <t xml:space="preserve">
Negeri Sembilan</t>
  </si>
  <si>
    <t xml:space="preserve">
Sarawak</t>
  </si>
  <si>
    <t xml:space="preserve">
Pahang</t>
  </si>
  <si>
    <t xml:space="preserve">
W.P. Kuala Lumpur</t>
  </si>
  <si>
    <t xml:space="preserve">
Pulau Pinang</t>
  </si>
  <si>
    <t xml:space="preserve">
W.P. Labuan</t>
  </si>
  <si>
    <t xml:space="preserve">
Pantai Pohon Batu
Taman Burung Labuan
Memorial Perang Dunia Kedua
Pantai Pancur Hitam
Kg. Patau-Patau</t>
  </si>
  <si>
    <t xml:space="preserve">
Perak</t>
  </si>
  <si>
    <r>
      <rPr>
        <sz val="10"/>
        <rFont val="Century Gothic"/>
        <charset val="134"/>
      </rPr>
      <t xml:space="preserve">
Durio Tourism Mardi
Pantai Teluk Nipah
Marina Island
</t>
    </r>
    <r>
      <rPr>
        <i/>
        <sz val="10"/>
        <rFont val="Century Gothic"/>
        <charset val="134"/>
      </rPr>
      <t>Ipoh Town Hall</t>
    </r>
    <r>
      <rPr>
        <sz val="10"/>
        <rFont val="Century Gothic"/>
        <charset val="134"/>
      </rPr>
      <t xml:space="preserve">
Air Terjun Ulu Kinta
</t>
    </r>
  </si>
  <si>
    <t xml:space="preserve">
W.P. Putrajaya</t>
  </si>
  <si>
    <r>
      <rPr>
        <sz val="10"/>
        <rFont val="Century Gothic"/>
        <charset val="134"/>
      </rPr>
      <t xml:space="preserve">
Alamanda
Masjid Putra 
Taman Botani
</t>
    </r>
    <r>
      <rPr>
        <i/>
        <sz val="10"/>
        <rFont val="Century Gothic"/>
        <charset val="134"/>
      </rPr>
      <t>Putrajaya International Convention Centre</t>
    </r>
    <r>
      <rPr>
        <sz val="10"/>
        <rFont val="Century Gothic"/>
        <charset val="134"/>
      </rPr>
      <t xml:space="preserve"> (PICC)
Masjid Sultan Mizan Zainal Abidin</t>
    </r>
  </si>
  <si>
    <t>Jadual 8B: Lima Daerah Pentadbiran Tumpuan Pelawat Domestik, 2020</t>
  </si>
  <si>
    <t>Table 8B: Top Five Administrative Districts Most Visited by Domestic Visitors, 2020</t>
  </si>
  <si>
    <r>
      <rPr>
        <b/>
        <sz val="10.5"/>
        <rFont val="Century Gothic"/>
        <charset val="134"/>
      </rPr>
      <t xml:space="preserve">Negeri
</t>
    </r>
    <r>
      <rPr>
        <i/>
        <sz val="10.5"/>
        <rFont val="Century Gothic"/>
        <charset val="134"/>
      </rPr>
      <t>State</t>
    </r>
  </si>
  <si>
    <r>
      <rPr>
        <b/>
        <sz val="10.5"/>
        <rFont val="Century Gothic"/>
        <charset val="134"/>
      </rPr>
      <t>Lima Daerah Pentadbiran Tumpuan Pelawat Domestik</t>
    </r>
    <r>
      <rPr>
        <sz val="10.5"/>
        <rFont val="Century Gothic"/>
        <charset val="134"/>
      </rPr>
      <t xml:space="preserve">
</t>
    </r>
    <r>
      <rPr>
        <i/>
        <sz val="10.5"/>
        <rFont val="Century Gothic"/>
        <charset val="134"/>
      </rPr>
      <t>Top Five Administrative Districts Most Visited by Domestic Visitors</t>
    </r>
  </si>
  <si>
    <t xml:space="preserve">
Johor Bahru
Kota Tinggi
Batu Pahat
Pontian
Mersing</t>
  </si>
  <si>
    <t xml:space="preserve">
Timur Laut
Barat Daya
Seberang Perai Utara
Seberang Perai Selatan
Seberang Perai Tengah</t>
  </si>
  <si>
    <t xml:space="preserve">
Kota Setar
Langkawi
Pokok Sena
Pendang
Kubang Pasu</t>
  </si>
  <si>
    <t xml:space="preserve">
Larut &amp; Matang
Kinta
Manjung
Kuala Kangsar
Kerian</t>
  </si>
  <si>
    <t xml:space="preserve">
Kota Bharu
Pasir Mas
Tanah Merah
Gua Musang
Pasir Puteh
</t>
  </si>
  <si>
    <t xml:space="preserve">
Petaling
Klang
Hulu Langat
Gombak
Kuala Langat</t>
  </si>
  <si>
    <t xml:space="preserve">
Melaka Tengah
Alor Gajah
Jasin
</t>
  </si>
  <si>
    <t xml:space="preserve">
Kuala Terengganu
Kemaman
Dungun
Kuala Nerus
Marang</t>
  </si>
  <si>
    <t xml:space="preserve">
Seremban
Port Dickson
Tampin
Jempol
Kuala Pilah</t>
  </si>
  <si>
    <t xml:space="preserve">
Kota Kinabalu
Keningau
Tawau
Lahad Datu
Semporna</t>
  </si>
  <si>
    <t xml:space="preserve">
Kuantan
Cameron Highlands
Bentong
Rompin
Jerantut</t>
  </si>
  <si>
    <r>
      <rPr>
        <sz val="9"/>
        <color theme="1"/>
        <rFont val="Century Gothic"/>
        <charset val="134"/>
      </rPr>
      <t>*</t>
    </r>
    <r>
      <rPr>
        <b/>
        <sz val="9"/>
        <color theme="1"/>
        <rFont val="Century Gothic"/>
        <charset val="134"/>
      </rPr>
      <t>Nota</t>
    </r>
    <r>
      <rPr>
        <sz val="9"/>
        <color theme="1"/>
        <rFont val="Century Gothic"/>
        <charset val="134"/>
      </rPr>
      <t>: Bagi Negeri Perlis, W.P. Kuala Lumpur, W.P. Labuan dan W.P. Putrajaya, tiada daerah pentadbiran</t>
    </r>
  </si>
  <si>
    <t>*Note: For State of Perlis, W.P. Kuala Lumpur, W.P. Labuan dan W.P. Putrajaya, there is no administrative district</t>
  </si>
  <si>
    <t>Jadual 9: Bilangan Pelawat Domestik mengikut Negeri Dikunjungi, 2013 - 2020</t>
  </si>
  <si>
    <t>Table 9: Number of Domestic Visitors by State Visited, 2013 - 2020</t>
  </si>
  <si>
    <r>
      <rPr>
        <b/>
        <sz val="10"/>
        <rFont val="Century Gothic"/>
        <charset val="134"/>
      </rPr>
      <t xml:space="preserve">Negeri           
</t>
    </r>
    <r>
      <rPr>
        <i/>
        <sz val="10"/>
        <rFont val="Century Gothic"/>
        <charset val="134"/>
      </rPr>
      <t>State</t>
    </r>
  </si>
  <si>
    <r>
      <rPr>
        <b/>
        <sz val="10"/>
        <rFont val="Century Gothic"/>
        <charset val="134"/>
      </rPr>
      <t xml:space="preserve">Bilangan Pelawat Domestik
</t>
    </r>
    <r>
      <rPr>
        <i/>
        <sz val="10"/>
        <rFont val="Century Gothic"/>
        <charset val="134"/>
      </rPr>
      <t>Number of Domestic Visitors</t>
    </r>
    <r>
      <rPr>
        <b/>
        <sz val="10"/>
        <rFont val="Century Gothic"/>
        <charset val="134"/>
      </rPr>
      <t xml:space="preserve">
('000)</t>
    </r>
  </si>
  <si>
    <t>Johor</t>
  </si>
  <si>
    <t>Kedah</t>
  </si>
  <si>
    <t>Kelantan</t>
  </si>
  <si>
    <t>Melaka</t>
  </si>
  <si>
    <t>Negeri Sembilan</t>
  </si>
  <si>
    <t>Pahang</t>
  </si>
  <si>
    <t>Pulau Pinang</t>
  </si>
  <si>
    <t>Perak</t>
  </si>
  <si>
    <t>Perlis</t>
  </si>
  <si>
    <t>Selangor</t>
  </si>
  <si>
    <t>Terengganu</t>
  </si>
  <si>
    <t>Sabah</t>
  </si>
  <si>
    <t>Sarawak</t>
  </si>
  <si>
    <t>W.P. Kuala Lumpur</t>
  </si>
  <si>
    <t>W.P. Labuan</t>
  </si>
  <si>
    <t>W.P. Putrajaya</t>
  </si>
  <si>
    <r>
      <rPr>
        <b/>
        <sz val="10"/>
        <color theme="1"/>
        <rFont val="Century Gothic"/>
        <charset val="134"/>
      </rPr>
      <t xml:space="preserve">JUMLAH
</t>
    </r>
    <r>
      <rPr>
        <i/>
        <sz val="10"/>
        <color theme="1"/>
        <rFont val="Century Gothic"/>
        <charset val="134"/>
      </rPr>
      <t>TOTAL</t>
    </r>
  </si>
  <si>
    <t>Jadual 10: Bilangan Pelancong mengikut Negeri Dikunjungi, 2020</t>
  </si>
  <si>
    <t>Table 10: Number of Tourists by State Visited, 2020</t>
  </si>
  <si>
    <r>
      <rPr>
        <b/>
        <sz val="10"/>
        <color theme="2" tint="-0.89996032593768116"/>
        <rFont val="Century Gothic"/>
        <charset val="134"/>
      </rPr>
      <t>Negeri Asal</t>
    </r>
    <r>
      <rPr>
        <sz val="10"/>
        <color theme="2" tint="-0.89996032593768116"/>
        <rFont val="Century Gothic"/>
        <charset val="134"/>
      </rPr>
      <t xml:space="preserve">
</t>
    </r>
    <r>
      <rPr>
        <i/>
        <sz val="10"/>
        <color theme="2" tint="-0.89996032593768116"/>
        <rFont val="Century Gothic"/>
        <charset val="134"/>
      </rPr>
      <t>State of Origin</t>
    </r>
  </si>
  <si>
    <r>
      <rPr>
        <b/>
        <sz val="10"/>
        <color theme="2" tint="-0.89996032593768116"/>
        <rFont val="Century Gothic"/>
        <charset val="134"/>
      </rPr>
      <t>Negeri Dikunjungi</t>
    </r>
    <r>
      <rPr>
        <sz val="10"/>
        <color theme="2" tint="-0.89996032593768116"/>
        <rFont val="Century Gothic"/>
        <charset val="134"/>
      </rPr>
      <t xml:space="preserve">/ State </t>
    </r>
    <r>
      <rPr>
        <i/>
        <sz val="10"/>
        <color theme="2" tint="-0.89996032593768116"/>
        <rFont val="Century Gothic"/>
        <charset val="134"/>
      </rPr>
      <t xml:space="preserve">Visited </t>
    </r>
  </si>
  <si>
    <t>Malaysia</t>
  </si>
  <si>
    <t>Jadual 11: Taburan Peratus Pelawat Domestik mengikut Mod Pengangkutan, 2019 dan 2020</t>
  </si>
  <si>
    <t>Table 11: Percentage Distribution of Domestic Visitors by Mode of Transport, 2019 and 2020</t>
  </si>
  <si>
    <r>
      <rPr>
        <b/>
        <sz val="10"/>
        <rFont val="Century Gothic"/>
        <charset val="134"/>
      </rPr>
      <t xml:space="preserve">Mod Pengangkutan                                                  </t>
    </r>
    <r>
      <rPr>
        <i/>
        <sz val="10"/>
        <rFont val="Century Gothic"/>
        <charset val="134"/>
      </rPr>
      <t xml:space="preserve">Mode of Transport </t>
    </r>
    <r>
      <rPr>
        <b/>
        <sz val="10"/>
        <rFont val="Century Gothic"/>
        <charset val="134"/>
      </rPr>
      <t> </t>
    </r>
  </si>
  <si>
    <r>
      <rPr>
        <b/>
        <sz val="10"/>
        <rFont val="Century Gothic"/>
        <charset val="134"/>
      </rPr>
      <t xml:space="preserve">Pelawat      </t>
    </r>
    <r>
      <rPr>
        <i/>
        <sz val="10"/>
        <rFont val="Century Gothic"/>
        <charset val="134"/>
      </rPr>
      <t>Visitors</t>
    </r>
  </si>
  <si>
    <r>
      <rPr>
        <b/>
        <sz val="10"/>
        <rFont val="Century Gothic"/>
        <charset val="134"/>
      </rPr>
      <t xml:space="preserve">Pelawat Harian
</t>
    </r>
    <r>
      <rPr>
        <i/>
        <sz val="10"/>
        <rFont val="Century Gothic"/>
        <charset val="134"/>
      </rPr>
      <t xml:space="preserve">Excursionists </t>
    </r>
  </si>
  <si>
    <r>
      <rPr>
        <b/>
        <sz val="10"/>
        <rFont val="Century Gothic"/>
        <charset val="134"/>
      </rPr>
      <t xml:space="preserve">Pelancong  </t>
    </r>
    <r>
      <rPr>
        <i/>
        <sz val="10"/>
        <rFont val="Century Gothic"/>
        <charset val="134"/>
      </rPr>
      <t>Tourists</t>
    </r>
  </si>
  <si>
    <r>
      <rPr>
        <b/>
        <sz val="10"/>
        <rFont val="Century Gothic"/>
        <charset val="134"/>
      </rPr>
      <t>Jumlah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>Total</t>
    </r>
  </si>
  <si>
    <r>
      <rPr>
        <b/>
        <sz val="10"/>
        <rFont val="Century Gothic"/>
        <charset val="134"/>
      </rPr>
      <t>Udara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>Air</t>
    </r>
  </si>
  <si>
    <r>
      <rPr>
        <b/>
        <sz val="10"/>
        <rFont val="Century Gothic"/>
        <charset val="134"/>
      </rPr>
      <t>Air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>Water</t>
    </r>
  </si>
  <si>
    <r>
      <rPr>
        <b/>
        <sz val="10"/>
        <rFont val="Century Gothic"/>
        <charset val="134"/>
      </rPr>
      <t>Darat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>Land</t>
    </r>
  </si>
  <si>
    <r>
      <rPr>
        <b/>
        <sz val="10"/>
        <rFont val="Century Gothic"/>
        <charset val="134"/>
      </rPr>
      <t>Kenderaan                persendirian</t>
    </r>
    <r>
      <rPr>
        <sz val="10"/>
        <rFont val="Century Gothic"/>
        <charset val="134"/>
      </rPr>
      <t xml:space="preserve">/            </t>
    </r>
    <r>
      <rPr>
        <i/>
        <sz val="10"/>
        <rFont val="Century Gothic"/>
        <charset val="134"/>
      </rPr>
      <t>Private vehicles</t>
    </r>
  </si>
  <si>
    <r>
      <rPr>
        <b/>
        <sz val="10"/>
        <rFont val="Century Gothic"/>
        <charset val="134"/>
      </rPr>
      <t>Bas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>Bus</t>
    </r>
  </si>
  <si>
    <r>
      <rPr>
        <b/>
        <sz val="10"/>
        <rFont val="Century Gothic"/>
        <charset val="134"/>
      </rPr>
      <t>Teksi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>Taxi</t>
    </r>
  </si>
  <si>
    <t>Jadual 12: Taburan Peratus Pelancong mengikut Jenis Penginapan, 2019 dan 2020</t>
  </si>
  <si>
    <t>Table 12: Percentage Distribution of Tourists by Type of Accommodation, 2019 and 2020</t>
  </si>
  <si>
    <r>
      <rPr>
        <b/>
        <sz val="10"/>
        <rFont val="Century Gothic"/>
        <charset val="134"/>
      </rPr>
      <t xml:space="preserve">Jenis Penginapan  
</t>
    </r>
    <r>
      <rPr>
        <i/>
        <sz val="10"/>
        <rFont val="Century Gothic"/>
        <charset val="134"/>
      </rPr>
      <t xml:space="preserve">Type of Accommodation </t>
    </r>
  </si>
  <si>
    <r>
      <rPr>
        <b/>
        <sz val="10"/>
        <rFont val="Century Gothic"/>
        <charset val="134"/>
      </rPr>
      <t xml:space="preserve">Peratus                            </t>
    </r>
    <r>
      <rPr>
        <i/>
        <sz val="10"/>
        <rFont val="Century Gothic"/>
        <charset val="134"/>
      </rPr>
      <t>Percentage</t>
    </r>
    <r>
      <rPr>
        <b/>
        <i/>
        <sz val="10"/>
        <rFont val="Century Gothic"/>
        <charset val="134"/>
      </rPr>
      <t xml:space="preserve"> 
</t>
    </r>
    <r>
      <rPr>
        <b/>
        <sz val="10"/>
        <rFont val="Century Gothic"/>
        <charset val="134"/>
      </rPr>
      <t>(%)</t>
    </r>
    <r>
      <rPr>
        <b/>
        <i/>
        <sz val="10"/>
        <rFont val="Century Gothic"/>
        <charset val="134"/>
      </rPr>
      <t xml:space="preserve"> </t>
    </r>
  </si>
  <si>
    <r>
      <rPr>
        <b/>
        <sz val="10"/>
        <rFont val="Century Gothic"/>
        <charset val="134"/>
      </rPr>
      <t>Rumah saudara-mara &amp; rakan/</t>
    </r>
    <r>
      <rPr>
        <i/>
        <sz val="10"/>
        <rFont val="Century Gothic"/>
        <charset val="134"/>
      </rPr>
      <t xml:space="preserve"> Relatives’&amp; friends' house</t>
    </r>
  </si>
  <si>
    <r>
      <rPr>
        <b/>
        <sz val="10"/>
        <rFont val="Century Gothic"/>
        <charset val="134"/>
      </rPr>
      <t xml:space="preserve">Hotel/ </t>
    </r>
    <r>
      <rPr>
        <i/>
        <sz val="10"/>
        <rFont val="Century Gothic"/>
        <charset val="134"/>
      </rPr>
      <t>Hotel</t>
    </r>
  </si>
  <si>
    <r>
      <rPr>
        <b/>
        <sz val="10"/>
        <rFont val="Century Gothic"/>
        <charset val="134"/>
      </rPr>
      <t xml:space="preserve">Chalet/ </t>
    </r>
    <r>
      <rPr>
        <i/>
        <sz val="10"/>
        <rFont val="Century Gothic"/>
        <charset val="134"/>
      </rPr>
      <t>Chalet</t>
    </r>
  </si>
  <si>
    <r>
      <rPr>
        <b/>
        <sz val="10"/>
        <rFont val="Century Gothic"/>
        <charset val="134"/>
      </rPr>
      <t xml:space="preserve">Apartmen/ </t>
    </r>
    <r>
      <rPr>
        <i/>
        <sz val="10"/>
        <rFont val="Century Gothic"/>
        <charset val="134"/>
      </rPr>
      <t>Apartment</t>
    </r>
  </si>
  <si>
    <r>
      <rPr>
        <b/>
        <sz val="10"/>
        <rFont val="Century Gothic"/>
        <charset val="134"/>
      </rPr>
      <t xml:space="preserve">Inap desa/ Rumah percutian/ </t>
    </r>
    <r>
      <rPr>
        <i/>
        <sz val="10"/>
        <rFont val="Century Gothic"/>
        <charset val="134"/>
      </rPr>
      <t>Homestay/ Vacation homes</t>
    </r>
  </si>
  <si>
    <r>
      <rPr>
        <b/>
        <sz val="10"/>
        <rFont val="Century Gothic"/>
        <charset val="134"/>
      </rPr>
      <t xml:space="preserve">Rumah rehat/ </t>
    </r>
    <r>
      <rPr>
        <i/>
        <sz val="10"/>
        <rFont val="Century Gothic"/>
        <charset val="134"/>
      </rPr>
      <t>Rest house</t>
    </r>
  </si>
  <si>
    <t>Jadual 13: Profil Sosial &amp; Demografi Pelawat Domestik, 2019 dan 2020</t>
  </si>
  <si>
    <t>Table 13: Social &amp; Demographic Profile of Domestic Visitors, 2019 and 2020</t>
  </si>
  <si>
    <t>Jantina</t>
  </si>
  <si>
    <t>Kumpulan umur</t>
  </si>
  <si>
    <r>
      <rPr>
        <b/>
        <sz val="10"/>
        <rFont val="Century Gothic"/>
        <charset val="134"/>
      </rPr>
      <t xml:space="preserve">Peratus/ </t>
    </r>
    <r>
      <rPr>
        <i/>
        <sz val="10"/>
        <rFont val="Century Gothic"/>
        <charset val="134"/>
      </rPr>
      <t>Percentage</t>
    </r>
    <r>
      <rPr>
        <b/>
        <sz val="10"/>
        <rFont val="Century Gothic"/>
        <charset val="134"/>
      </rPr>
      <t xml:space="preserve"> (%)</t>
    </r>
  </si>
  <si>
    <t>Sex</t>
  </si>
  <si>
    <t>Age group</t>
  </si>
  <si>
    <t>15 - 24</t>
  </si>
  <si>
    <t>25 - 39</t>
  </si>
  <si>
    <t>40 - 54</t>
  </si>
  <si>
    <t>≥ 55</t>
  </si>
  <si>
    <r>
      <rPr>
        <b/>
        <sz val="10"/>
        <rFont val="Century Gothic"/>
        <charset val="134"/>
      </rPr>
      <t xml:space="preserve">Lelaki/ </t>
    </r>
    <r>
      <rPr>
        <i/>
        <sz val="10"/>
        <rFont val="Century Gothic"/>
        <charset val="134"/>
      </rPr>
      <t>Male</t>
    </r>
  </si>
  <si>
    <r>
      <rPr>
        <b/>
        <sz val="10"/>
        <rFont val="Century Gothic"/>
        <charset val="134"/>
      </rPr>
      <t xml:space="preserve">Perempuan/ </t>
    </r>
    <r>
      <rPr>
        <i/>
        <sz val="10"/>
        <rFont val="Century Gothic"/>
        <charset val="134"/>
      </rPr>
      <t>Female</t>
    </r>
  </si>
  <si>
    <t>Kumpulan etnik</t>
  </si>
  <si>
    <t>Ethnic group</t>
  </si>
  <si>
    <r>
      <rPr>
        <b/>
        <sz val="10"/>
        <rFont val="Century Gothic"/>
        <charset val="134"/>
      </rPr>
      <t xml:space="preserve">Bumiputera/ </t>
    </r>
    <r>
      <rPr>
        <i/>
        <sz val="10"/>
        <rFont val="Century Gothic"/>
        <charset val="134"/>
      </rPr>
      <t>Bumiputera</t>
    </r>
  </si>
  <si>
    <r>
      <rPr>
        <b/>
        <sz val="10"/>
        <rFont val="Century Gothic"/>
        <charset val="134"/>
      </rPr>
      <t xml:space="preserve">Cina/ </t>
    </r>
    <r>
      <rPr>
        <i/>
        <sz val="10"/>
        <rFont val="Century Gothic"/>
        <charset val="134"/>
      </rPr>
      <t>Chinese</t>
    </r>
  </si>
  <si>
    <r>
      <rPr>
        <b/>
        <sz val="10"/>
        <rFont val="Century Gothic"/>
        <charset val="134"/>
      </rPr>
      <t xml:space="preserve">India/ </t>
    </r>
    <r>
      <rPr>
        <i/>
        <sz val="10"/>
        <rFont val="Century Gothic"/>
        <charset val="134"/>
      </rPr>
      <t>Indian</t>
    </r>
  </si>
  <si>
    <r>
      <rPr>
        <b/>
        <sz val="10"/>
        <rFont val="Century Gothic"/>
        <charset val="134"/>
      </rPr>
      <t xml:space="preserve">Lain-Lain/ </t>
    </r>
    <r>
      <rPr>
        <i/>
        <sz val="10"/>
        <rFont val="Century Gothic"/>
        <charset val="134"/>
      </rPr>
      <t>Others</t>
    </r>
  </si>
  <si>
    <t>Taraf pendidikan</t>
  </si>
  <si>
    <t>Educational level</t>
  </si>
  <si>
    <r>
      <rPr>
        <b/>
        <sz val="10"/>
        <rFont val="Century Gothic"/>
        <charset val="134"/>
      </rPr>
      <t xml:space="preserve">Tertiari/ </t>
    </r>
    <r>
      <rPr>
        <i/>
        <sz val="10"/>
        <rFont val="Century Gothic"/>
        <charset val="134"/>
      </rPr>
      <t>Tertiary</t>
    </r>
  </si>
  <si>
    <r>
      <rPr>
        <b/>
        <sz val="10"/>
        <rFont val="Century Gothic"/>
        <charset val="134"/>
      </rPr>
      <t xml:space="preserve">Menengah/ </t>
    </r>
    <r>
      <rPr>
        <i/>
        <sz val="10"/>
        <rFont val="Century Gothic"/>
        <charset val="134"/>
      </rPr>
      <t>Secondary</t>
    </r>
  </si>
  <si>
    <r>
      <rPr>
        <b/>
        <sz val="10"/>
        <rFont val="Century Gothic"/>
        <charset val="134"/>
      </rPr>
      <t xml:space="preserve">Rendah/ </t>
    </r>
    <r>
      <rPr>
        <i/>
        <sz val="10"/>
        <rFont val="Century Gothic"/>
        <charset val="134"/>
      </rPr>
      <t>Primary</t>
    </r>
  </si>
  <si>
    <r>
      <rPr>
        <b/>
        <sz val="10"/>
        <rFont val="Century Gothic"/>
        <charset val="134"/>
      </rPr>
      <t xml:space="preserve">Tiada pendidikan rasmi
</t>
    </r>
    <r>
      <rPr>
        <i/>
        <sz val="10"/>
        <rFont val="Century Gothic"/>
        <charset val="134"/>
      </rPr>
      <t>No formal education</t>
    </r>
  </si>
  <si>
    <t>Jadual 13: Profil Sosial &amp; Demografi Pelawat Domestik, 2019 dan 2020 (samb.)</t>
  </si>
  <si>
    <t>Table 13: Social &amp; Demographic Profile of Domestic Visitors, 2019 and 2020 (cont.)</t>
  </si>
  <si>
    <t>Pendapatan bulanan isi rumah (RM)</t>
  </si>
  <si>
    <t>Monthly household income</t>
  </si>
  <si>
    <r>
      <rPr>
        <b/>
        <sz val="10"/>
        <color rgb="FF000000"/>
        <rFont val="Century Gothic"/>
        <charset val="134"/>
      </rPr>
      <t xml:space="preserve">Jumlah/ </t>
    </r>
    <r>
      <rPr>
        <i/>
        <sz val="10"/>
        <color indexed="8"/>
        <rFont val="Century Gothic"/>
        <charset val="134"/>
      </rPr>
      <t>Total</t>
    </r>
  </si>
  <si>
    <t>≤ 1,000</t>
  </si>
  <si>
    <t>1,001 - 3,000</t>
  </si>
  <si>
    <t>3,001 - 5,000</t>
  </si>
  <si>
    <t>5,001 - 10,000</t>
  </si>
  <si>
    <t>≥ 10,001</t>
  </si>
  <si>
    <t>Status guna tenaga</t>
  </si>
  <si>
    <t>Employment status</t>
  </si>
  <si>
    <r>
      <rPr>
        <b/>
        <sz val="10"/>
        <color rgb="FF000000"/>
        <rFont val="Century Gothic"/>
        <charset val="134"/>
      </rPr>
      <t>Bekerja</t>
    </r>
    <r>
      <rPr>
        <i/>
        <sz val="10"/>
        <color indexed="8"/>
        <rFont val="Century Gothic"/>
        <charset val="134"/>
      </rPr>
      <t xml:space="preserve">                       
Employed</t>
    </r>
  </si>
  <si>
    <r>
      <rPr>
        <b/>
        <sz val="10"/>
        <color rgb="FF000000"/>
        <rFont val="Century Gothic"/>
        <charset val="134"/>
      </rPr>
      <t>Profesional/ teknikal</t>
    </r>
    <r>
      <rPr>
        <i/>
        <sz val="10"/>
        <color indexed="8"/>
        <rFont val="Century Gothic"/>
        <charset val="134"/>
      </rPr>
      <t xml:space="preserve">
Professional/ technical</t>
    </r>
  </si>
  <si>
    <r>
      <rPr>
        <b/>
        <sz val="10"/>
        <color rgb="FF000000"/>
        <rFont val="Century Gothic"/>
        <charset val="134"/>
      </rPr>
      <t>Pengurusan/ pentadbiran</t>
    </r>
    <r>
      <rPr>
        <i/>
        <sz val="10"/>
        <color indexed="8"/>
        <rFont val="Century Gothic"/>
        <charset val="134"/>
      </rPr>
      <t xml:space="preserve">
Managerial/ administrative</t>
    </r>
  </si>
  <si>
    <r>
      <rPr>
        <b/>
        <sz val="10"/>
        <color rgb="FF000000"/>
        <rFont val="Century Gothic"/>
        <charset val="134"/>
      </rPr>
      <t>Jurujual/ perkeranian</t>
    </r>
    <r>
      <rPr>
        <i/>
        <sz val="10"/>
        <color indexed="8"/>
        <rFont val="Century Gothic"/>
        <charset val="134"/>
      </rPr>
      <t xml:space="preserve">
Sales person/ clerical</t>
    </r>
  </si>
  <si>
    <r>
      <rPr>
        <b/>
        <sz val="10"/>
        <color rgb="FF000000"/>
        <rFont val="Century Gothic"/>
        <charset val="134"/>
      </rPr>
      <t xml:space="preserve">Pekerja am
</t>
    </r>
    <r>
      <rPr>
        <i/>
        <sz val="10"/>
        <color rgb="FF000000"/>
        <rFont val="Century Gothic"/>
        <charset val="134"/>
      </rPr>
      <t>General worker</t>
    </r>
  </si>
  <si>
    <r>
      <rPr>
        <b/>
        <sz val="10"/>
        <color rgb="FF000000"/>
        <rFont val="Century Gothic"/>
        <charset val="134"/>
      </rPr>
      <t>Lain-lain</t>
    </r>
    <r>
      <rPr>
        <i/>
        <sz val="10"/>
        <color indexed="8"/>
        <rFont val="Century Gothic"/>
        <charset val="134"/>
      </rPr>
      <t xml:space="preserve">
Others</t>
    </r>
  </si>
  <si>
    <r>
      <rPr>
        <b/>
        <sz val="10"/>
        <color rgb="FF000000"/>
        <rFont val="Century Gothic"/>
        <charset val="134"/>
      </rPr>
      <t>Tidak bekerja/ luar tenaga buruh</t>
    </r>
    <r>
      <rPr>
        <i/>
        <sz val="10"/>
        <color rgb="FF000000"/>
        <rFont val="Century Gothic"/>
        <charset val="134"/>
      </rPr>
      <t xml:space="preserve">                       
Unemployed/ outside labour force</t>
    </r>
  </si>
  <si>
    <r>
      <rPr>
        <b/>
        <sz val="10"/>
        <color rgb="FF000000"/>
        <rFont val="Century Gothic"/>
        <charset val="134"/>
      </rPr>
      <t>Tidak bekerja</t>
    </r>
    <r>
      <rPr>
        <i/>
        <sz val="10"/>
        <color rgb="FF000000"/>
        <rFont val="Century Gothic"/>
        <charset val="134"/>
      </rPr>
      <t xml:space="preserve">
Unemployed</t>
    </r>
  </si>
  <si>
    <r>
      <rPr>
        <b/>
        <sz val="10"/>
        <color rgb="FF000000"/>
        <rFont val="Century Gothic"/>
        <charset val="134"/>
      </rPr>
      <t>Pesara</t>
    </r>
    <r>
      <rPr>
        <i/>
        <sz val="10"/>
        <color rgb="FF000000"/>
        <rFont val="Century Gothic"/>
        <charset val="134"/>
      </rPr>
      <t xml:space="preserve">
Retiree</t>
    </r>
  </si>
  <si>
    <r>
      <rPr>
        <b/>
        <sz val="10"/>
        <color rgb="FF000000"/>
        <rFont val="Century Gothic"/>
        <charset val="134"/>
      </rPr>
      <t>Pelajar</t>
    </r>
    <r>
      <rPr>
        <i/>
        <sz val="10"/>
        <color rgb="FF000000"/>
        <rFont val="Century Gothic"/>
        <charset val="134"/>
      </rPr>
      <t xml:space="preserve">
Student</t>
    </r>
  </si>
  <si>
    <r>
      <rPr>
        <b/>
        <sz val="10"/>
        <color rgb="FF000000"/>
        <rFont val="Century Gothic"/>
        <charset val="134"/>
      </rPr>
      <t>Suri rumah</t>
    </r>
    <r>
      <rPr>
        <i/>
        <sz val="10"/>
        <color rgb="FF000000"/>
        <rFont val="Century Gothic"/>
        <charset val="134"/>
      </rPr>
      <t xml:space="preserve">
Housewife</t>
    </r>
  </si>
  <si>
    <r>
      <t>Kereta api</t>
    </r>
    <r>
      <rPr>
        <sz val="10"/>
        <rFont val="Century Gothic"/>
        <charset val="134"/>
      </rPr>
      <t xml:space="preserve">/ </t>
    </r>
    <r>
      <rPr>
        <i/>
        <sz val="10"/>
        <rFont val="Century Gothic"/>
        <charset val="134"/>
      </rPr>
      <t>Train</t>
    </r>
  </si>
  <si>
    <r>
      <t xml:space="preserve">
Desaru
Angsana Johor Bahru Mall
Johor Premium Outlet (JPO)
KSL City
</t>
    </r>
    <r>
      <rPr>
        <sz val="10"/>
        <rFont val="Century Gothic"/>
        <family val="2"/>
      </rPr>
      <t>Air Terjun Kota Tinggi</t>
    </r>
  </si>
  <si>
    <t xml:space="preserve">
Pulau Langkawi
Menara Alor Setar
Gunung Keriang
Aman Central Mall
Pekan Rabu</t>
  </si>
  <si>
    <t xml:space="preserve">
Pasar Siti Khadijah
Masjid Bandar Pasir Mas
Kawasan Membeli Belah Bebas Cukai Rantau Panjang
Pantai Cahaya Bulan
Pasar Malam Wakaf Che Yeh</t>
  </si>
  <si>
    <r>
      <t xml:space="preserve">
</t>
    </r>
    <r>
      <rPr>
        <i/>
        <sz val="10"/>
        <rFont val="Century Gothic"/>
        <charset val="134"/>
      </rPr>
      <t>Melaka River Cruise</t>
    </r>
    <r>
      <rPr>
        <sz val="10"/>
        <rFont val="Century Gothic"/>
        <charset val="134"/>
      </rPr>
      <t xml:space="preserve">
Pantai Pengkalan Balak
Muzium Adat Istadat
Taman Rama-Rama dan Reptilia
</t>
    </r>
    <r>
      <rPr>
        <sz val="10"/>
        <rFont val="Century Gothic"/>
        <family val="2"/>
      </rPr>
      <t>Mahkota Parade</t>
    </r>
  </si>
  <si>
    <r>
      <t xml:space="preserve">
Port Dickson</t>
    </r>
    <r>
      <rPr>
        <sz val="10"/>
        <rFont val="Century Gothic"/>
        <charset val="134"/>
      </rPr>
      <t xml:space="preserve">
</t>
    </r>
    <r>
      <rPr>
        <i/>
        <sz val="10"/>
        <rFont val="Century Gothic"/>
        <charset val="134"/>
      </rPr>
      <t>Nilai Wholesale Centre</t>
    </r>
    <r>
      <rPr>
        <sz val="10"/>
        <rFont val="Century Gothic"/>
        <charset val="134"/>
      </rPr>
      <t xml:space="preserve"> (Nilai 3)
</t>
    </r>
    <r>
      <rPr>
        <sz val="10"/>
        <rFont val="Century Gothic"/>
        <family val="2"/>
      </rPr>
      <t>Palm Mall</t>
    </r>
    <r>
      <rPr>
        <i/>
        <sz val="10"/>
        <rFont val="Century Gothic"/>
        <charset val="134"/>
      </rPr>
      <t xml:space="preserve">
</t>
    </r>
    <r>
      <rPr>
        <sz val="10"/>
        <rFont val="Century Gothic"/>
        <family val="2"/>
      </rPr>
      <t>Kompleks Sejarah Pengkalan Kempas
Dataran Tampin</t>
    </r>
  </si>
  <si>
    <t xml:space="preserve">
Cameron Highlands
Bukit Panorama
Bukit Gambang Resort City
Genting Premium Outlets
East Cost Mall (ECM)</t>
  </si>
  <si>
    <r>
      <t xml:space="preserve">
</t>
    </r>
    <r>
      <rPr>
        <i/>
        <sz val="10"/>
        <rFont val="Century Gothic"/>
        <family val="2"/>
      </rPr>
      <t>Queens Bay</t>
    </r>
    <r>
      <rPr>
        <sz val="10"/>
        <rFont val="Century Gothic"/>
        <charset val="134"/>
      </rPr>
      <t xml:space="preserve">
Bukit Bendera
Pantai Batu Ferringhi
Gurney Plaza
Prangin Mall</t>
    </r>
  </si>
  <si>
    <t xml:space="preserve">
Kuala Perlis
Arked Niaga Padang Besar
Tasik Timah Tasoh
Hutan Lipur Bukit Ayer
Taman Rekreasi Pengkalan Asam</t>
  </si>
  <si>
    <r>
      <t xml:space="preserve">
The Curve
Sunway Pyramid Shopping Mall
Zoo Negara
Pantai Morib
One Utama Shopping Centre
</t>
    </r>
    <r>
      <rPr>
        <i/>
        <sz val="10"/>
        <rFont val="Century Gothic"/>
        <charset val="134"/>
      </rPr>
      <t/>
    </r>
  </si>
  <si>
    <r>
      <t xml:space="preserve">
Pantai Batu Buruk
Pasar Besar Kedai Payang
</t>
    </r>
    <r>
      <rPr>
        <i/>
        <sz val="10"/>
        <rFont val="Century Gothic"/>
        <family val="2"/>
      </rPr>
      <t>Drawbridge</t>
    </r>
    <r>
      <rPr>
        <sz val="10"/>
        <rFont val="Century Gothic"/>
        <family val="2"/>
      </rPr>
      <t xml:space="preserve">
KTCC Mall
Pantai Teluk Lipat</t>
    </r>
  </si>
  <si>
    <t xml:space="preserve">
Imago Shopping Centre
Suria Sabah Shopping Mall
Ladang Lembu Tenusu
Pulau Bohey Dulang
Sungai Melangkap</t>
  </si>
  <si>
    <r>
      <t xml:space="preserve">
Pasar Sentral Sibu
Daesco Star Mega Mall
Vivacity Megamall</t>
    </r>
    <r>
      <rPr>
        <i/>
        <sz val="10"/>
        <rFont val="Century Gothic"/>
        <charset val="134"/>
      </rPr>
      <t xml:space="preserve">
</t>
    </r>
    <r>
      <rPr>
        <sz val="10"/>
        <rFont val="Century Gothic"/>
        <family val="2"/>
      </rPr>
      <t>Park City Mall</t>
    </r>
    <r>
      <rPr>
        <sz val="10"/>
        <rFont val="Century Gothic"/>
        <charset val="134"/>
      </rPr>
      <t xml:space="preserve">
The Spring Mall Bintulu</t>
    </r>
  </si>
  <si>
    <r>
      <t xml:space="preserve">
Mid Valley
</t>
    </r>
    <r>
      <rPr>
        <i/>
        <sz val="10"/>
        <rFont val="Century Gothic"/>
        <charset val="134"/>
      </rPr>
      <t>Kuala Lumpur City Centre</t>
    </r>
    <r>
      <rPr>
        <sz val="10"/>
        <rFont val="Century Gothic"/>
        <charset val="134"/>
      </rPr>
      <t xml:space="preserve"> (KLCC)
Pavillion
SOGO
Sunway Putra Mall</t>
    </r>
  </si>
  <si>
    <t xml:space="preserve">
Kuching
Sibu
Bintulu
Miri
Serian</t>
  </si>
  <si>
    <r>
      <rPr>
        <b/>
        <sz val="10"/>
        <rFont val="Century Gothic"/>
        <family val="2"/>
      </rPr>
      <t xml:space="preserve">Jumlah Perbelanjaan (A+B)
</t>
    </r>
    <r>
      <rPr>
        <i/>
        <sz val="10"/>
        <rFont val="Century Gothic"/>
        <family val="2"/>
      </rPr>
      <t>Total Expenditure (A+B)</t>
    </r>
  </si>
  <si>
    <r>
      <rPr>
        <b/>
        <sz val="10"/>
        <rFont val="Century Gothic"/>
        <family val="2"/>
      </rPr>
      <t xml:space="preserve">B. Perbelanjaan oleh isi rumah yang dilawati
    </t>
    </r>
    <r>
      <rPr>
        <i/>
        <sz val="10"/>
        <rFont val="Century Gothic"/>
        <family val="2"/>
      </rPr>
      <t>Expenditure by visited households</t>
    </r>
  </si>
  <si>
    <r>
      <rPr>
        <b/>
        <sz val="10"/>
        <rFont val="Century Gothic"/>
        <family val="2"/>
      </rPr>
      <t xml:space="preserve">Aktiviti-aktiviti lain
</t>
    </r>
    <r>
      <rPr>
        <i/>
        <sz val="10"/>
        <rFont val="Century Gothic"/>
        <family val="2"/>
      </rPr>
      <t>Other activities</t>
    </r>
  </si>
  <si>
    <r>
      <t xml:space="preserve">Perbelanjaan sebelum perjalanan/
pakej/ bayaran masuk/ tiket
</t>
    </r>
    <r>
      <rPr>
        <i/>
        <sz val="10"/>
        <rFont val="Century Gothic"/>
        <family val="2"/>
      </rPr>
      <t>Expenditure before the trip/
package/ entrance fees/ tickets</t>
    </r>
  </si>
  <si>
    <r>
      <rPr>
        <b/>
        <sz val="10"/>
        <rFont val="Century Gothic"/>
        <family val="2"/>
      </rPr>
      <t xml:space="preserve">Penginapan
</t>
    </r>
    <r>
      <rPr>
        <i/>
        <sz val="10"/>
        <rFont val="Century Gothic"/>
        <family val="2"/>
      </rPr>
      <t xml:space="preserve">Accommodation </t>
    </r>
    <r>
      <rPr>
        <b/>
        <sz val="10"/>
        <rFont val="Century Gothic"/>
        <family val="2"/>
      </rPr>
      <t xml:space="preserve">                                                                                                      </t>
    </r>
  </si>
  <si>
    <r>
      <rPr>
        <b/>
        <sz val="10"/>
        <rFont val="Century Gothic"/>
        <family val="2"/>
      </rPr>
      <t xml:space="preserve">Makanan &amp; minuman
</t>
    </r>
    <r>
      <rPr>
        <i/>
        <sz val="10"/>
        <rFont val="Century Gothic"/>
        <family val="2"/>
      </rPr>
      <t xml:space="preserve">Food &amp; beverage   </t>
    </r>
    <r>
      <rPr>
        <b/>
        <sz val="10"/>
        <rFont val="Century Gothic"/>
        <family val="2"/>
      </rPr>
      <t xml:space="preserve">                                                                                        </t>
    </r>
  </si>
  <si>
    <r>
      <t xml:space="preserve">Pengangkutan
</t>
    </r>
    <r>
      <rPr>
        <i/>
        <sz val="10"/>
        <rFont val="Century Gothic"/>
        <family val="2"/>
      </rPr>
      <t>Transportation</t>
    </r>
  </si>
  <si>
    <r>
      <rPr>
        <b/>
        <sz val="10"/>
        <rFont val="Century Gothic"/>
        <family val="2"/>
      </rPr>
      <t xml:space="preserve">Pembelian bahan api kenderaan
</t>
    </r>
    <r>
      <rPr>
        <i/>
        <sz val="10"/>
        <rFont val="Century Gothic"/>
        <family val="2"/>
      </rPr>
      <t xml:space="preserve">Purchase of automotive fuel </t>
    </r>
  </si>
  <si>
    <r>
      <rPr>
        <b/>
        <sz val="10"/>
        <rFont val="Century Gothic"/>
        <family val="2"/>
      </rPr>
      <t xml:space="preserve">Membeli-belah
</t>
    </r>
    <r>
      <rPr>
        <i/>
        <sz val="10"/>
        <rFont val="Century Gothic"/>
        <family val="2"/>
      </rPr>
      <t>Shopping</t>
    </r>
  </si>
  <si>
    <r>
      <rPr>
        <b/>
        <sz val="10"/>
        <rFont val="Century Gothic"/>
        <family val="2"/>
      </rPr>
      <t xml:space="preserve">A. Perbelanjaan oleh pelawat
    </t>
    </r>
    <r>
      <rPr>
        <i/>
        <sz val="10"/>
        <rFont val="Century Gothic"/>
        <family val="2"/>
      </rPr>
      <t>Expenditure by visitors</t>
    </r>
  </si>
  <si>
    <r>
      <rPr>
        <b/>
        <sz val="10"/>
        <rFont val="Century Gothic"/>
        <family val="2"/>
      </rPr>
      <t xml:space="preserve">Peratus Sumbangan
</t>
    </r>
    <r>
      <rPr>
        <i/>
        <sz val="10"/>
        <rFont val="Century Gothic"/>
        <family val="2"/>
      </rPr>
      <t xml:space="preserve">Percentage Share
</t>
    </r>
    <r>
      <rPr>
        <b/>
        <sz val="10"/>
        <rFont val="Century Gothic"/>
        <family val="2"/>
      </rPr>
      <t>(%)</t>
    </r>
  </si>
  <si>
    <r>
      <rPr>
        <b/>
        <sz val="10"/>
        <rFont val="Century Gothic"/>
        <family val="2"/>
      </rPr>
      <t xml:space="preserve">Jumlah Perbelanjaan
</t>
    </r>
    <r>
      <rPr>
        <i/>
        <sz val="10"/>
        <rFont val="Century Gothic"/>
        <family val="2"/>
      </rPr>
      <t xml:space="preserve">Total Expenditure
</t>
    </r>
    <r>
      <rPr>
        <b/>
        <sz val="10"/>
        <rFont val="Century Gothic"/>
        <family val="2"/>
      </rPr>
      <t>(RM '000)</t>
    </r>
  </si>
  <si>
    <r>
      <rPr>
        <b/>
        <sz val="10"/>
        <rFont val="Century Gothic"/>
        <family val="2"/>
      </rPr>
      <t xml:space="preserve">Komponen
</t>
    </r>
    <r>
      <rPr>
        <i/>
        <sz val="10"/>
        <rFont val="Century Gothic"/>
        <family val="2"/>
      </rPr>
      <t>Component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</si>
</sst>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3" formatCode="_(* #,##0.00_);_(* \(#,##0.00\);_(* &quot;-&quot;??_);_(@_)"/>
    <numFmt numFmtId="164" formatCode="0.0"/>
    <numFmt numFmtId="165" formatCode="#,##0.0"/>
    <numFmt numFmtId="166" formatCode="_(* #,##0.0_);_(* \(#,##0.0\);_(* &quot;-&quot;??_);_(@_)"/>
    <numFmt numFmtId="167" formatCode="_(* #,##0_);_(* \(#,##0\);_(* &quot;-&quot;??_);_(@_)"/>
    <numFmt numFmtId="168" formatCode="0.0_ "/>
    <numFmt numFmtId="169" formatCode="_-* #,##0_-;\-* #,##0_-;_-* &quot;-&quot;??_-;_-@_-"/>
    <numFmt numFmtId="170" formatCode="_-* #,##0.0_-;\-* #,##0.0_-;_-* &quot;-&quot;??.0_-;_-@_-"/>
  </numFmts>
  <fonts count="6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name val="Century Gothic"/>
      <charset val="134"/>
    </font>
    <font>
      <b/>
      <sz val="11"/>
      <name val="Century Gothic"/>
      <charset val="134"/>
    </font>
    <font>
      <i/>
      <sz val="11"/>
      <name val="Century Gothic"/>
      <charset val="134"/>
    </font>
    <font>
      <b/>
      <sz val="10"/>
      <name val="Century Gothic"/>
      <charset val="134"/>
    </font>
    <font>
      <i/>
      <sz val="10"/>
      <name val="Century Gothic"/>
      <charset val="134"/>
    </font>
    <font>
      <sz val="11"/>
      <color theme="1"/>
      <name val="Century Gothic"/>
      <charset val="134"/>
    </font>
    <font>
      <b/>
      <sz val="11"/>
      <color theme="1"/>
      <name val="Century Gothic"/>
      <charset val="134"/>
    </font>
    <font>
      <i/>
      <sz val="11"/>
      <color theme="1"/>
      <name val="Century Gothic"/>
      <charset val="134"/>
    </font>
    <font>
      <b/>
      <sz val="10"/>
      <color theme="0"/>
      <name val="Century Gothic"/>
      <charset val="134"/>
    </font>
    <font>
      <i/>
      <sz val="10"/>
      <color theme="0"/>
      <name val="Century Gothic"/>
      <charset val="134"/>
    </font>
    <font>
      <b/>
      <sz val="10"/>
      <color rgb="FF000000"/>
      <name val="Century Gothic"/>
      <charset val="134"/>
    </font>
    <font>
      <i/>
      <sz val="10"/>
      <color rgb="FF000000"/>
      <name val="Century Gothic"/>
      <charset val="134"/>
    </font>
    <font>
      <sz val="10"/>
      <color rgb="FF000000"/>
      <name val="Century Gothic"/>
      <charset val="134"/>
    </font>
    <font>
      <sz val="10"/>
      <color rgb="FFFF0000"/>
      <name val="Century Gothic"/>
      <charset val="134"/>
    </font>
    <font>
      <sz val="11"/>
      <name val="Century Gothic"/>
      <charset val="134"/>
    </font>
    <font>
      <sz val="11"/>
      <color theme="2" tint="-0.89996032593768116"/>
      <name val="Century Gothic"/>
      <charset val="134"/>
    </font>
    <font>
      <b/>
      <sz val="11"/>
      <color theme="2" tint="-0.89996032593768116"/>
      <name val="Century Gothic"/>
      <charset val="134"/>
    </font>
    <font>
      <i/>
      <sz val="11"/>
      <color theme="2" tint="-0.89996032593768116"/>
      <name val="Century Gothic"/>
      <charset val="134"/>
    </font>
    <font>
      <i/>
      <sz val="10"/>
      <color theme="2" tint="-0.89996032593768116"/>
      <name val="Century Gothic"/>
      <charset val="134"/>
    </font>
    <font>
      <sz val="10"/>
      <color theme="1"/>
      <name val="Century Gothic"/>
      <charset val="134"/>
    </font>
    <font>
      <b/>
      <sz val="10"/>
      <color theme="2" tint="-0.89996032593768116"/>
      <name val="Century Gothic"/>
      <charset val="134"/>
    </font>
    <font>
      <sz val="10"/>
      <color theme="2" tint="-0.89996032593768116"/>
      <name val="Century Gothic"/>
      <charset val="134"/>
    </font>
    <font>
      <b/>
      <sz val="10"/>
      <color theme="1"/>
      <name val="Century Gothic"/>
      <charset val="134"/>
    </font>
    <font>
      <sz val="10.5"/>
      <name val="Century Gothic"/>
      <charset val="134"/>
    </font>
    <font>
      <b/>
      <sz val="10.5"/>
      <color theme="1"/>
      <name val="Century Gothic"/>
      <charset val="134"/>
    </font>
    <font>
      <sz val="10.5"/>
      <color theme="1"/>
      <name val="Century Gothic"/>
      <charset val="134"/>
    </font>
    <font>
      <sz val="9"/>
      <color theme="1"/>
      <name val="Century Gothic"/>
      <charset val="134"/>
    </font>
    <font>
      <i/>
      <sz val="9"/>
      <color theme="1"/>
      <name val="Century Gothic"/>
      <charset val="134"/>
    </font>
    <font>
      <sz val="11"/>
      <name val="Calibri"/>
      <charset val="134"/>
      <scheme val="minor"/>
    </font>
    <font>
      <i/>
      <sz val="8"/>
      <color rgb="FF000000"/>
      <name val="Century Gothic"/>
      <charset val="134"/>
    </font>
    <font>
      <sz val="8"/>
      <color rgb="FF000000"/>
      <name val="Century Gothic"/>
      <charset val="134"/>
    </font>
    <font>
      <b/>
      <sz val="11"/>
      <color rgb="FF000000"/>
      <name val="Century Gothic"/>
      <charset val="134"/>
    </font>
    <font>
      <i/>
      <sz val="11"/>
      <color rgb="FF000000"/>
      <name val="Century Gothic"/>
      <charset val="134"/>
    </font>
    <font>
      <i/>
      <sz val="9"/>
      <name val="Century Gothic"/>
      <charset val="134"/>
    </font>
    <font>
      <i/>
      <sz val="9"/>
      <color theme="0"/>
      <name val="Century Gothic"/>
      <charset val="134"/>
    </font>
    <font>
      <sz val="10"/>
      <name val="Arial"/>
      <charset val="134"/>
    </font>
    <font>
      <sz val="11"/>
      <color indexed="8"/>
      <name val="Calibri"/>
      <charset val="134"/>
    </font>
    <font>
      <i/>
      <sz val="10"/>
      <color indexed="8"/>
      <name val="Century Gothic"/>
      <charset val="134"/>
    </font>
    <font>
      <b/>
      <i/>
      <sz val="10"/>
      <name val="Century Gothic"/>
      <charset val="134"/>
    </font>
    <font>
      <i/>
      <sz val="10"/>
      <color theme="1"/>
      <name val="Century Gothic"/>
      <charset val="134"/>
    </font>
    <font>
      <b/>
      <sz val="10.5"/>
      <name val="Century Gothic"/>
      <charset val="134"/>
    </font>
    <font>
      <i/>
      <sz val="10.5"/>
      <name val="Century Gothic"/>
      <charset val="134"/>
    </font>
    <font>
      <b/>
      <sz val="9"/>
      <color theme="1"/>
      <name val="Century Gothic"/>
      <charset val="134"/>
    </font>
    <font>
      <sz val="10"/>
      <color indexed="8"/>
      <name val="Century Gothic"/>
      <charset val="134"/>
    </font>
    <font>
      <i/>
      <sz val="9"/>
      <color indexed="8"/>
      <name val="Century Gothic"/>
      <charset val="134"/>
    </font>
    <font>
      <b/>
      <i/>
      <sz val="10"/>
      <color theme="1"/>
      <name val="Century Gothic"/>
      <charset val="134"/>
    </font>
    <font>
      <b/>
      <i/>
      <sz val="10"/>
      <color indexed="8"/>
      <name val="Century Gothic"/>
      <charset val="134"/>
    </font>
    <font>
      <b/>
      <sz val="10"/>
      <color indexed="8"/>
      <name val="Century Gothic"/>
      <charset val="134"/>
    </font>
    <font>
      <sz val="11"/>
      <color theme="1"/>
      <name val="Calibri"/>
      <charset val="134"/>
      <scheme val="minor"/>
    </font>
    <font>
      <sz val="10"/>
      <name val="Century Gothic"/>
      <family val="2"/>
    </font>
    <font>
      <i/>
      <sz val="10"/>
      <name val="Century Gothic"/>
      <family val="2"/>
    </font>
    <font>
      <b/>
      <sz val="10"/>
      <name val="Century Gothic"/>
      <family val="2"/>
    </font>
    <font>
      <i/>
      <sz val="10"/>
      <color theme="1"/>
      <name val="Arial"/>
      <charset val="134"/>
    </font>
    <font>
      <b/>
      <sz val="10"/>
      <color theme="1"/>
      <name val="Arial"/>
      <charset val="134"/>
    </font>
    <font>
      <i/>
      <sz val="11"/>
      <name val="Century Gothic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sz val="9"/>
      <name val="Century Gothic"/>
      <family val="2"/>
    </font>
    <font>
      <sz val="9"/>
      <name val="Century Gothic"/>
      <family val="2"/>
    </font>
    <font>
      <sz val="8"/>
      <name val="Century Gothic"/>
      <family val="2"/>
    </font>
    <font>
      <i/>
      <sz val="8"/>
      <name val="Century Gothic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theme="3" tint="0.39994506668294322"/>
      </bottom>
      <diagonal/>
    </border>
    <border>
      <left/>
      <right/>
      <top style="medium">
        <color theme="3" tint="0.39994506668294322"/>
      </top>
      <bottom style="medium">
        <color theme="3" tint="0.39994506668294322"/>
      </bottom>
      <diagonal/>
    </border>
    <border>
      <left/>
      <right/>
      <top style="medium">
        <color theme="3" tint="0.39991454817346722"/>
      </top>
      <bottom/>
      <diagonal/>
    </border>
    <border>
      <left/>
      <right/>
      <top/>
      <bottom style="medium">
        <color theme="3" tint="0.39991454817346722"/>
      </bottom>
      <diagonal/>
    </border>
    <border>
      <left/>
      <right/>
      <top style="medium">
        <color theme="3" tint="0.39991454817346722"/>
      </top>
      <bottom style="medium">
        <color theme="3" tint="0.39991454817346722"/>
      </bottom>
      <diagonal/>
    </border>
    <border>
      <left/>
      <right/>
      <top style="medium">
        <color theme="3" tint="0.39991454817346722"/>
      </top>
      <bottom style="medium">
        <color theme="3" tint="0.39988402966399123"/>
      </bottom>
      <diagonal/>
    </border>
    <border>
      <left style="medium">
        <color theme="3" tint="0.39991454817346722"/>
      </left>
      <right/>
      <top style="medium">
        <color theme="3" tint="0.39991454817346722"/>
      </top>
      <bottom/>
      <diagonal/>
    </border>
    <border>
      <left style="medium">
        <color theme="3" tint="0.39988402966399123"/>
      </left>
      <right style="medium">
        <color theme="3" tint="0.39988402966399123"/>
      </right>
      <top style="medium">
        <color theme="3" tint="0.39988402966399123"/>
      </top>
      <bottom style="thin">
        <color auto="1"/>
      </bottom>
      <diagonal/>
    </border>
    <border>
      <left/>
      <right/>
      <top style="medium">
        <color theme="3" tint="0.39988402966399123"/>
      </top>
      <bottom style="medium">
        <color theme="3" tint="0.39988402966399123"/>
      </bottom>
      <diagonal/>
    </border>
    <border>
      <left style="medium">
        <color theme="3" tint="0.39988402966399123"/>
      </left>
      <right style="medium">
        <color theme="3" tint="0.39988402966399123"/>
      </right>
      <top/>
      <bottom/>
      <diagonal/>
    </border>
    <border>
      <left style="medium">
        <color theme="3" tint="0.39988402966399123"/>
      </left>
      <right style="medium">
        <color theme="3" tint="0.39988402966399123"/>
      </right>
      <top style="thin">
        <color auto="1"/>
      </top>
      <bottom/>
      <diagonal/>
    </border>
    <border>
      <left style="medium">
        <color theme="3" tint="0.39988402966399123"/>
      </left>
      <right style="medium">
        <color theme="3" tint="0.39988402966399123"/>
      </right>
      <top style="medium">
        <color theme="3" tint="0.39988402966399123"/>
      </top>
      <bottom/>
      <diagonal/>
    </border>
    <border>
      <left style="medium">
        <color theme="3" tint="0.39988402966399123"/>
      </left>
      <right style="medium">
        <color theme="3" tint="0.39988402966399123"/>
      </right>
      <top/>
      <bottom style="medium">
        <color theme="3" tint="0.39988402966399123"/>
      </bottom>
      <diagonal/>
    </border>
    <border>
      <left/>
      <right style="medium">
        <color theme="3" tint="0.39991454817346722"/>
      </right>
      <top style="medium">
        <color theme="3" tint="0.39991454817346722"/>
      </top>
      <bottom/>
      <diagonal/>
    </border>
    <border>
      <left/>
      <right style="medium">
        <color theme="3" tint="0.39988402966399123"/>
      </right>
      <top style="medium">
        <color theme="3" tint="0.39988402966399123"/>
      </top>
      <bottom style="medium">
        <color theme="3" tint="0.39988402966399123"/>
      </bottom>
      <diagonal/>
    </border>
    <border>
      <left/>
      <right style="medium">
        <color theme="3" tint="0.39991454817346722"/>
      </right>
      <top/>
      <bottom/>
      <diagonal/>
    </border>
    <border>
      <left/>
      <right style="medium">
        <color theme="3" tint="0.39991454817346722"/>
      </right>
      <top/>
      <bottom style="medium">
        <color theme="3" tint="0.39991454817346722"/>
      </bottom>
      <diagonal/>
    </border>
    <border>
      <left style="medium">
        <color theme="3" tint="0.39991454817346722"/>
      </left>
      <right/>
      <top style="medium">
        <color theme="3" tint="0.39991454817346722"/>
      </top>
      <bottom style="medium">
        <color theme="3" tint="0.39991454817346722"/>
      </bottom>
      <diagonal/>
    </border>
    <border>
      <left/>
      <right style="medium">
        <color theme="3" tint="0.39991454817346722"/>
      </right>
      <top style="medium">
        <color theme="3" tint="0.39991454817346722"/>
      </top>
      <bottom style="medium">
        <color theme="3" tint="0.39991454817346722"/>
      </bottom>
      <diagonal/>
    </border>
    <border>
      <left/>
      <right style="thin">
        <color auto="1"/>
      </right>
      <top style="medium">
        <color theme="3" tint="0.39991454817346722"/>
      </top>
      <bottom style="medium">
        <color theme="3" tint="0.39991454817346722"/>
      </bottom>
      <diagonal/>
    </border>
    <border>
      <left style="thin">
        <color auto="1"/>
      </left>
      <right style="thin">
        <color auto="1"/>
      </right>
      <top style="medium">
        <color theme="3" tint="0.39991454817346722"/>
      </top>
      <bottom style="medium">
        <color theme="3" tint="0.39991454817346722"/>
      </bottom>
      <diagonal/>
    </border>
    <border>
      <left style="thin">
        <color auto="1"/>
      </left>
      <right style="medium">
        <color theme="3" tint="0.39991454817346722"/>
      </right>
      <top style="medium">
        <color theme="3" tint="0.39991454817346722"/>
      </top>
      <bottom style="medium">
        <color theme="3" tint="0.39991454817346722"/>
      </bottom>
      <diagonal/>
    </border>
    <border>
      <left style="medium">
        <color theme="3" tint="0.39985351115451523"/>
      </left>
      <right/>
      <top style="medium">
        <color theme="3" tint="0.39985351115451523"/>
      </top>
      <bottom/>
      <diagonal/>
    </border>
    <border>
      <left/>
      <right/>
      <top style="medium">
        <color theme="3" tint="0.39985351115451523"/>
      </top>
      <bottom/>
      <diagonal/>
    </border>
    <border>
      <left/>
      <right style="medium">
        <color theme="3" tint="0.39985351115451523"/>
      </right>
      <top style="medium">
        <color theme="3" tint="0.39985351115451523"/>
      </top>
      <bottom/>
      <diagonal/>
    </border>
    <border>
      <left style="medium">
        <color theme="3" tint="0.39985351115451523"/>
      </left>
      <right/>
      <top/>
      <bottom style="medium">
        <color theme="3" tint="0.39991454817346722"/>
      </bottom>
      <diagonal/>
    </border>
    <border>
      <left/>
      <right style="medium">
        <color theme="3" tint="0.39985351115451523"/>
      </right>
      <top/>
      <bottom style="medium">
        <color theme="3" tint="0.39991454817346722"/>
      </bottom>
      <diagonal/>
    </border>
    <border>
      <left style="medium">
        <color theme="3" tint="0.39985351115451523"/>
      </left>
      <right/>
      <top/>
      <bottom/>
      <diagonal/>
    </border>
    <border>
      <left/>
      <right style="medium">
        <color theme="3" tint="0.39985351115451523"/>
      </right>
      <top/>
      <bottom/>
      <diagonal/>
    </border>
    <border>
      <left style="medium">
        <color theme="3" tint="0.39985351115451523"/>
      </left>
      <right/>
      <top/>
      <bottom style="medium">
        <color theme="3" tint="0.39985351115451523"/>
      </bottom>
      <diagonal/>
    </border>
    <border>
      <left/>
      <right/>
      <top/>
      <bottom style="medium">
        <color theme="3" tint="0.39985351115451523"/>
      </bottom>
      <diagonal/>
    </border>
    <border>
      <left/>
      <right style="medium">
        <color theme="3" tint="0.39985351115451523"/>
      </right>
      <top/>
      <bottom style="medium">
        <color theme="3" tint="0.39985351115451523"/>
      </bottom>
      <diagonal/>
    </border>
    <border>
      <left/>
      <right/>
      <top style="medium">
        <color theme="3" tint="0.39994506668294322"/>
      </top>
      <bottom/>
      <diagonal/>
    </border>
    <border>
      <left/>
      <right/>
      <top style="thin">
        <color theme="3" tint="0.39991454817346722"/>
      </top>
      <bottom style="medium">
        <color theme="3" tint="0.39994506668294322"/>
      </bottom>
      <diagonal/>
    </border>
    <border>
      <left/>
      <right/>
      <top style="medium">
        <color theme="3" tint="0.39991454817346722"/>
      </top>
      <bottom style="medium">
        <color theme="3" tint="0.39994506668294322"/>
      </bottom>
      <diagonal/>
    </border>
    <border>
      <left/>
      <right/>
      <top style="thin">
        <color theme="3" tint="0.39991454817346722"/>
      </top>
      <bottom style="thin">
        <color theme="3" tint="0.39991454817346722"/>
      </bottom>
      <diagonal/>
    </border>
    <border>
      <left/>
      <right/>
      <top style="thin">
        <color theme="3" tint="0.39991454817346722"/>
      </top>
      <bottom style="medium">
        <color theme="3" tint="0.39991454817346722"/>
      </bottom>
      <diagonal/>
    </border>
    <border>
      <left/>
      <right/>
      <top style="medium">
        <color rgb="FF00CC99"/>
      </top>
      <bottom/>
      <diagonal/>
    </border>
    <border>
      <left/>
      <right/>
      <top/>
      <bottom style="thin">
        <color theme="3" tint="0.39991454817346722"/>
      </bottom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7" tint="-0.249977111117893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theme="3" tint="0.59996337778862885"/>
      </top>
      <bottom style="medium">
        <color theme="3" tint="0.39991454817346722"/>
      </bottom>
      <diagonal/>
    </border>
  </borders>
  <cellStyleXfs count="19">
    <xf numFmtId="0" fontId="0" fillId="0" borderId="0"/>
    <xf numFmtId="43" fontId="50" fillId="0" borderId="0" applyFont="0" applyFill="0" applyBorder="0" applyAlignment="0" applyProtection="0"/>
    <xf numFmtId="0" fontId="50" fillId="0" borderId="0"/>
    <xf numFmtId="9" fontId="50" fillId="0" borderId="0" applyFont="0" applyFill="0" applyBorder="0" applyAlignment="0" applyProtection="0"/>
    <xf numFmtId="0" fontId="50" fillId="0" borderId="0"/>
    <xf numFmtId="0" fontId="37" fillId="0" borderId="0"/>
    <xf numFmtId="0" fontId="37" fillId="0" borderId="0"/>
    <xf numFmtId="43" fontId="37" fillId="0" borderId="0" applyFont="0" applyFill="0" applyBorder="0" applyAlignment="0" applyProtection="0"/>
    <xf numFmtId="0" fontId="37" fillId="0" borderId="0"/>
    <xf numFmtId="0" fontId="50" fillId="0" borderId="0"/>
    <xf numFmtId="0" fontId="50" fillId="0" borderId="0"/>
    <xf numFmtId="43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50" fillId="0" borderId="0"/>
    <xf numFmtId="0" fontId="50" fillId="0" borderId="0"/>
    <xf numFmtId="0" fontId="1" fillId="0" borderId="0"/>
    <xf numFmtId="43" fontId="1" fillId="0" borderId="0" applyFont="0" applyFill="0" applyBorder="0" applyAlignment="0" applyProtection="0"/>
  </cellStyleXfs>
  <cellXfs count="408">
    <xf numFmtId="0" fontId="0" fillId="0" borderId="0" xfId="0"/>
    <xf numFmtId="0" fontId="7" fillId="0" borderId="0" xfId="0" applyFont="1" applyAlignment="1">
      <alignment vertical="top"/>
    </xf>
    <xf numFmtId="0" fontId="0" fillId="0" borderId="0" xfId="0" applyFill="1" applyAlignment="1">
      <alignment vertical="top"/>
    </xf>
    <xf numFmtId="0" fontId="0" fillId="0" borderId="0" xfId="0" applyAlignment="1">
      <alignment vertical="top"/>
    </xf>
    <xf numFmtId="0" fontId="0" fillId="0" borderId="2" xfId="0" applyBorder="1" applyAlignment="1">
      <alignment vertical="top"/>
    </xf>
    <xf numFmtId="0" fontId="5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horizontal="left" vertical="center" wrapText="1"/>
    </xf>
    <xf numFmtId="0" fontId="5" fillId="0" borderId="2" xfId="0" applyFont="1" applyFill="1" applyBorder="1" applyAlignment="1">
      <alignment horizontal="right" vertical="center" wrapText="1"/>
    </xf>
    <xf numFmtId="0" fontId="10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0" fontId="13" fillId="0" borderId="0" xfId="0" applyFont="1" applyAlignment="1">
      <alignment horizontal="right" vertical="top" wrapText="1"/>
    </xf>
    <xf numFmtId="164" fontId="12" fillId="0" borderId="0" xfId="0" applyNumberFormat="1" applyFont="1" applyFill="1" applyAlignment="1">
      <alignment horizontal="right" vertical="top" wrapText="1"/>
    </xf>
    <xf numFmtId="0" fontId="12" fillId="0" borderId="0" xfId="0" applyFont="1" applyAlignment="1">
      <alignment horizontal="left" vertical="top" wrapText="1"/>
    </xf>
    <xf numFmtId="164" fontId="14" fillId="0" borderId="0" xfId="0" applyNumberFormat="1" applyFont="1" applyFill="1" applyAlignment="1">
      <alignment horizontal="right" vertical="top" wrapText="1"/>
    </xf>
    <xf numFmtId="0" fontId="14" fillId="0" borderId="0" xfId="0" applyFont="1" applyAlignment="1">
      <alignment horizontal="left" vertical="top" wrapText="1"/>
    </xf>
    <xf numFmtId="0" fontId="7" fillId="0" borderId="2" xfId="0" applyFont="1" applyBorder="1" applyAlignment="1">
      <alignment vertical="top"/>
    </xf>
    <xf numFmtId="0" fontId="8" fillId="0" borderId="2" xfId="0" applyFont="1" applyBorder="1" applyAlignment="1">
      <alignment horizontal="left" vertical="top"/>
    </xf>
    <xf numFmtId="0" fontId="15" fillId="0" borderId="2" xfId="0" applyFont="1" applyBorder="1" applyAlignment="1">
      <alignment vertical="top"/>
    </xf>
    <xf numFmtId="0" fontId="6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vertical="center" wrapText="1"/>
    </xf>
    <xf numFmtId="0" fontId="6" fillId="0" borderId="2" xfId="0" applyFont="1" applyFill="1" applyBorder="1" applyAlignment="1">
      <alignment horizontal="left" vertical="top" wrapText="1"/>
    </xf>
    <xf numFmtId="0" fontId="6" fillId="0" borderId="2" xfId="0" applyFont="1" applyFill="1" applyBorder="1" applyAlignment="1">
      <alignment vertical="center" wrapText="1"/>
    </xf>
    <xf numFmtId="164" fontId="12" fillId="0" borderId="0" xfId="0" applyNumberFormat="1" applyFont="1" applyFill="1" applyBorder="1" applyAlignment="1">
      <alignment horizontal="right" vertical="top" wrapText="1"/>
    </xf>
    <xf numFmtId="0" fontId="14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 indent="2"/>
    </xf>
    <xf numFmtId="0" fontId="12" fillId="0" borderId="0" xfId="0" applyFont="1" applyBorder="1" applyAlignment="1">
      <alignment horizontal="left" vertical="top" wrapText="1" indent="2"/>
    </xf>
    <xf numFmtId="0" fontId="12" fillId="0" borderId="2" xfId="0" applyFont="1" applyBorder="1" applyAlignment="1">
      <alignment horizontal="left" vertical="top" wrapText="1"/>
    </xf>
    <xf numFmtId="0" fontId="15" fillId="0" borderId="2" xfId="0" applyFont="1" applyBorder="1" applyAlignment="1">
      <alignment horizontal="right" vertical="top" wrapText="1"/>
    </xf>
    <xf numFmtId="0" fontId="14" fillId="0" borderId="2" xfId="0" applyFont="1" applyBorder="1" applyAlignment="1">
      <alignment horizontal="right" vertical="top" wrapText="1"/>
    </xf>
    <xf numFmtId="0" fontId="16" fillId="0" borderId="0" xfId="0" applyFont="1" applyFill="1" applyAlignment="1">
      <alignment vertical="top"/>
    </xf>
    <xf numFmtId="0" fontId="16" fillId="0" borderId="0" xfId="0" applyFont="1" applyAlignment="1">
      <alignment vertical="top"/>
    </xf>
    <xf numFmtId="0" fontId="16" fillId="0" borderId="0" xfId="0" applyFont="1" applyBorder="1" applyAlignment="1">
      <alignment vertical="top"/>
    </xf>
    <xf numFmtId="0" fontId="5" fillId="0" borderId="0" xfId="0" applyFont="1" applyBorder="1" applyAlignment="1">
      <alignment horizontal="left" vertical="top" wrapText="1"/>
    </xf>
    <xf numFmtId="0" fontId="5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left" vertical="top" wrapText="1"/>
    </xf>
    <xf numFmtId="0" fontId="5" fillId="0" borderId="4" xfId="0" applyFont="1" applyFill="1" applyBorder="1" applyAlignment="1">
      <alignment horizontal="left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left" vertical="center" wrapText="1"/>
    </xf>
    <xf numFmtId="0" fontId="5" fillId="0" borderId="6" xfId="0" applyFont="1" applyFill="1" applyBorder="1" applyAlignment="1">
      <alignment horizontal="right" vertical="center" wrapText="1"/>
    </xf>
    <xf numFmtId="0" fontId="5" fillId="0" borderId="0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left" vertical="top" wrapText="1"/>
    </xf>
    <xf numFmtId="0" fontId="5" fillId="0" borderId="0" xfId="0" applyFont="1" applyAlignment="1">
      <alignment horizontal="right" vertical="top" wrapText="1"/>
    </xf>
    <xf numFmtId="0" fontId="6" fillId="0" borderId="0" xfId="0" applyFont="1" applyAlignment="1">
      <alignment horizontal="right" vertical="top" wrapText="1"/>
    </xf>
    <xf numFmtId="164" fontId="5" fillId="0" borderId="0" xfId="0" applyNumberFormat="1" applyFont="1" applyFill="1" applyAlignment="1">
      <alignment horizontal="right" vertical="top" wrapText="1"/>
    </xf>
    <xf numFmtId="164" fontId="2" fillId="0" borderId="0" xfId="0" applyNumberFormat="1" applyFont="1" applyAlignment="1">
      <alignment horizontal="right" vertical="top"/>
    </xf>
    <xf numFmtId="0" fontId="2" fillId="0" borderId="0" xfId="0" applyFont="1" applyAlignment="1">
      <alignment horizontal="right" vertical="top" wrapText="1"/>
    </xf>
    <xf numFmtId="0" fontId="16" fillId="0" borderId="0" xfId="0" applyFont="1" applyAlignment="1">
      <alignment horizontal="right" vertical="top"/>
    </xf>
    <xf numFmtId="0" fontId="5" fillId="0" borderId="0" xfId="0" applyFont="1" applyAlignment="1">
      <alignment horizontal="left" vertical="top"/>
    </xf>
    <xf numFmtId="164" fontId="5" fillId="0" borderId="0" xfId="0" applyNumberFormat="1" applyFont="1" applyAlignment="1">
      <alignment horizontal="right" vertical="top"/>
    </xf>
    <xf numFmtId="0" fontId="6" fillId="0" borderId="0" xfId="0" applyFont="1" applyAlignment="1">
      <alignment horizontal="center" vertical="top" wrapText="1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Fill="1" applyBorder="1" applyAlignment="1">
      <alignment horizontal="center" vertical="top" wrapText="1"/>
    </xf>
    <xf numFmtId="0" fontId="16" fillId="0" borderId="2" xfId="0" applyFont="1" applyBorder="1" applyAlignment="1">
      <alignment vertical="top"/>
    </xf>
    <xf numFmtId="0" fontId="5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top" wrapText="1"/>
    </xf>
    <xf numFmtId="164" fontId="2" fillId="0" borderId="0" xfId="0" applyNumberFormat="1" applyFont="1" applyAlignment="1">
      <alignment horizontal="right" vertical="top" wrapText="1"/>
    </xf>
    <xf numFmtId="0" fontId="2" fillId="0" borderId="0" xfId="0" applyFont="1" applyAlignment="1">
      <alignment horizontal="right" vertical="top"/>
    </xf>
    <xf numFmtId="0" fontId="5" fillId="0" borderId="2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5" fillId="0" borderId="0" xfId="0" applyFont="1" applyAlignment="1">
      <alignment horizontal="right" vertical="top"/>
    </xf>
    <xf numFmtId="0" fontId="16" fillId="0" borderId="0" xfId="0" applyFont="1" applyFill="1" applyBorder="1" applyAlignment="1">
      <alignment vertical="top"/>
    </xf>
    <xf numFmtId="0" fontId="6" fillId="0" borderId="0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5" fillId="0" borderId="5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top" wrapText="1"/>
    </xf>
    <xf numFmtId="164" fontId="5" fillId="0" borderId="0" xfId="0" applyNumberFormat="1" applyFont="1" applyFill="1" applyBorder="1" applyAlignment="1">
      <alignment horizontal="right" vertical="top" wrapText="1"/>
    </xf>
    <xf numFmtId="0" fontId="5" fillId="0" borderId="0" xfId="0" applyFont="1" applyAlignment="1">
      <alignment horizontal="left" vertical="top" wrapText="1" indent="1"/>
    </xf>
    <xf numFmtId="0" fontId="5" fillId="0" borderId="0" xfId="0" applyFont="1" applyFill="1" applyAlignment="1">
      <alignment horizontal="right" vertical="top" wrapText="1"/>
    </xf>
    <xf numFmtId="0" fontId="5" fillId="0" borderId="0" xfId="0" applyFont="1" applyAlignment="1">
      <alignment horizontal="left" vertical="top" wrapText="1" indent="2"/>
    </xf>
    <xf numFmtId="164" fontId="2" fillId="0" borderId="0" xfId="0" applyNumberFormat="1" applyFont="1" applyFill="1" applyAlignment="1">
      <alignment horizontal="right" vertical="top" wrapText="1"/>
    </xf>
    <xf numFmtId="0" fontId="2" fillId="0" borderId="0" xfId="0" applyFont="1" applyFill="1" applyAlignment="1">
      <alignment horizontal="right" vertical="top" wrapText="1"/>
    </xf>
    <xf numFmtId="0" fontId="2" fillId="0" borderId="0" xfId="0" applyFont="1" applyFill="1" applyBorder="1" applyAlignment="1">
      <alignment horizontal="right" vertical="top" wrapText="1"/>
    </xf>
    <xf numFmtId="0" fontId="2" fillId="0" borderId="4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0" fontId="6" fillId="0" borderId="5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5" xfId="0" applyFont="1" applyBorder="1" applyAlignment="1">
      <alignment vertical="top"/>
    </xf>
    <xf numFmtId="0" fontId="16" fillId="0" borderId="5" xfId="0" applyFont="1" applyBorder="1" applyAlignment="1">
      <alignment vertical="top"/>
    </xf>
    <xf numFmtId="0" fontId="16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right" vertical="center" wrapText="1"/>
    </xf>
    <xf numFmtId="0" fontId="5" fillId="0" borderId="4" xfId="0" applyFont="1" applyFill="1" applyBorder="1" applyAlignment="1">
      <alignment horizontal="center" vertical="top" wrapText="1"/>
    </xf>
    <xf numFmtId="0" fontId="6" fillId="0" borderId="4" xfId="0" applyFont="1" applyFill="1" applyBorder="1" applyAlignment="1">
      <alignment horizontal="center" vertical="top" wrapText="1"/>
    </xf>
    <xf numFmtId="164" fontId="2" fillId="0" borderId="0" xfId="0" applyNumberFormat="1" applyFont="1" applyBorder="1" applyAlignment="1">
      <alignment horizontal="right" vertical="top"/>
    </xf>
    <xf numFmtId="164" fontId="2" fillId="0" borderId="0" xfId="0" applyNumberFormat="1" applyFont="1" applyFill="1" applyBorder="1" applyAlignment="1">
      <alignment horizontal="right" vertical="top"/>
    </xf>
    <xf numFmtId="0" fontId="3" fillId="0" borderId="0" xfId="0" applyFont="1" applyAlignment="1">
      <alignment vertical="top"/>
    </xf>
    <xf numFmtId="0" fontId="7" fillId="0" borderId="0" xfId="0" applyFont="1" applyFill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7" fillId="0" borderId="0" xfId="0" applyFont="1" applyBorder="1"/>
    <xf numFmtId="0" fontId="7" fillId="0" borderId="0" xfId="0" applyFont="1"/>
    <xf numFmtId="0" fontId="17" fillId="0" borderId="0" xfId="0" applyFont="1"/>
    <xf numFmtId="0" fontId="20" fillId="0" borderId="0" xfId="0" applyFont="1" applyBorder="1" applyAlignment="1">
      <alignment horizontal="center" vertical="top"/>
    </xf>
    <xf numFmtId="0" fontId="21" fillId="0" borderId="0" xfId="0" applyFont="1" applyFill="1" applyBorder="1" applyAlignment="1">
      <alignment horizontal="center" vertical="center" textRotation="180" wrapText="1"/>
    </xf>
    <xf numFmtId="0" fontId="23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top" textRotation="180" wrapText="1"/>
    </xf>
    <xf numFmtId="0" fontId="23" fillId="0" borderId="0" xfId="0" applyFont="1" applyFill="1" applyBorder="1" applyAlignment="1">
      <alignment horizontal="center" vertical="top" textRotation="180" wrapText="1"/>
    </xf>
    <xf numFmtId="0" fontId="22" fillId="0" borderId="13" xfId="0" applyFont="1" applyFill="1" applyBorder="1" applyAlignment="1">
      <alignment horizontal="left" vertical="center" wrapText="1"/>
    </xf>
    <xf numFmtId="165" fontId="22" fillId="0" borderId="4" xfId="1" applyNumberFormat="1" applyFont="1" applyFill="1" applyBorder="1" applyAlignment="1">
      <alignment horizontal="right" vertical="center"/>
    </xf>
    <xf numFmtId="0" fontId="23" fillId="0" borderId="11" xfId="0" applyFont="1" applyFill="1" applyBorder="1" applyAlignment="1">
      <alignment vertical="center" wrapText="1"/>
    </xf>
    <xf numFmtId="165" fontId="22" fillId="0" borderId="0" xfId="1" applyNumberFormat="1" applyFont="1" applyFill="1" applyBorder="1" applyAlignment="1">
      <alignment horizontal="right" vertical="center"/>
    </xf>
    <xf numFmtId="165" fontId="23" fillId="0" borderId="0" xfId="1" applyNumberFormat="1" applyFont="1" applyFill="1" applyBorder="1" applyAlignment="1">
      <alignment horizontal="right" vertical="center"/>
    </xf>
    <xf numFmtId="0" fontId="23" fillId="0" borderId="14" xfId="0" applyFont="1" applyFill="1" applyBorder="1" applyAlignment="1">
      <alignment vertical="center" wrapText="1"/>
    </xf>
    <xf numFmtId="165" fontId="22" fillId="0" borderId="5" xfId="1" applyNumberFormat="1" applyFont="1" applyFill="1" applyBorder="1" applyAlignment="1">
      <alignment horizontal="right" vertical="center"/>
    </xf>
    <xf numFmtId="165" fontId="23" fillId="0" borderId="5" xfId="1" applyNumberFormat="1" applyFont="1" applyFill="1" applyBorder="1" applyAlignment="1">
      <alignment horizontal="right" vertical="center"/>
    </xf>
    <xf numFmtId="0" fontId="7" fillId="0" borderId="0" xfId="0" applyFont="1" applyBorder="1" applyAlignment="1">
      <alignment vertical="center"/>
    </xf>
    <xf numFmtId="0" fontId="17" fillId="0" borderId="0" xfId="0" applyFont="1" applyAlignment="1">
      <alignment vertical="center"/>
    </xf>
    <xf numFmtId="166" fontId="17" fillId="0" borderId="0" xfId="1" applyNumberFormat="1" applyFont="1" applyAlignment="1">
      <alignment vertical="center"/>
    </xf>
    <xf numFmtId="167" fontId="17" fillId="0" borderId="0" xfId="1" applyNumberFormat="1" applyFont="1"/>
    <xf numFmtId="0" fontId="23" fillId="0" borderId="17" xfId="0" applyFont="1" applyFill="1" applyBorder="1" applyAlignment="1">
      <alignment horizontal="center" vertical="center"/>
    </xf>
    <xf numFmtId="0" fontId="23" fillId="0" borderId="17" xfId="0" applyFont="1" applyFill="1" applyBorder="1" applyAlignment="1">
      <alignment horizontal="center" vertical="top" textRotation="180" wrapText="1"/>
    </xf>
    <xf numFmtId="165" fontId="22" fillId="0" borderId="15" xfId="1" applyNumberFormat="1" applyFont="1" applyFill="1" applyBorder="1" applyAlignment="1">
      <alignment horizontal="right" vertical="center"/>
    </xf>
    <xf numFmtId="165" fontId="23" fillId="0" borderId="17" xfId="1" applyNumberFormat="1" applyFont="1" applyFill="1" applyBorder="1" applyAlignment="1">
      <alignment horizontal="right" vertical="center"/>
    </xf>
    <xf numFmtId="165" fontId="23" fillId="0" borderId="18" xfId="1" applyNumberFormat="1" applyFont="1" applyFill="1" applyBorder="1" applyAlignment="1">
      <alignment horizontal="right" vertical="center"/>
    </xf>
    <xf numFmtId="0" fontId="7" fillId="0" borderId="0" xfId="0" applyFont="1" applyFill="1" applyAlignment="1">
      <alignment vertical="top"/>
    </xf>
    <xf numFmtId="0" fontId="13" fillId="0" borderId="0" xfId="0" applyFont="1" applyBorder="1" applyAlignment="1">
      <alignment horizontal="center" vertical="top" wrapText="1"/>
    </xf>
    <xf numFmtId="0" fontId="14" fillId="0" borderId="0" xfId="0" applyFont="1" applyBorder="1" applyAlignment="1">
      <alignment horizontal="center" vertical="top" wrapText="1"/>
    </xf>
    <xf numFmtId="0" fontId="21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10" fillId="0" borderId="0" xfId="0" applyFont="1" applyFill="1" applyBorder="1" applyAlignment="1">
      <alignment horizontal="center" vertical="top" wrapText="1"/>
    </xf>
    <xf numFmtId="0" fontId="7" fillId="0" borderId="0" xfId="0" applyFont="1" applyFill="1" applyBorder="1" applyAlignment="1">
      <alignment horizontal="right" vertical="top"/>
    </xf>
    <xf numFmtId="0" fontId="14" fillId="0" borderId="0" xfId="0" applyFont="1" applyBorder="1" applyAlignment="1">
      <alignment horizontal="left" vertical="top" wrapText="1"/>
    </xf>
    <xf numFmtId="3" fontId="14" fillId="0" borderId="0" xfId="0" applyNumberFormat="1" applyFont="1" applyBorder="1" applyAlignment="1">
      <alignment horizontal="right" vertical="top" wrapText="1"/>
    </xf>
    <xf numFmtId="3" fontId="23" fillId="0" borderId="0" xfId="0" applyNumberFormat="1" applyFont="1" applyBorder="1" applyAlignment="1">
      <alignment horizontal="right" vertical="top" wrapText="1"/>
    </xf>
    <xf numFmtId="0" fontId="24" fillId="0" borderId="6" xfId="0" applyFont="1" applyFill="1" applyBorder="1" applyAlignment="1">
      <alignment horizontal="left" vertical="center" wrapText="1" shrinkToFit="1"/>
    </xf>
    <xf numFmtId="167" fontId="24" fillId="0" borderId="6" xfId="1" applyNumberFormat="1" applyFont="1" applyBorder="1" applyAlignment="1">
      <alignment horizontal="right" vertical="center"/>
    </xf>
    <xf numFmtId="3" fontId="7" fillId="0" borderId="0" xfId="0" applyNumberFormat="1" applyFont="1" applyAlignment="1">
      <alignment vertical="top"/>
    </xf>
    <xf numFmtId="0" fontId="7" fillId="0" borderId="0" xfId="0" applyFont="1" applyFill="1" applyAlignment="1">
      <alignment horizontal="right" vertical="top"/>
    </xf>
    <xf numFmtId="167" fontId="21" fillId="0" borderId="0" xfId="1" applyNumberFormat="1" applyFont="1" applyAlignment="1">
      <alignment horizontal="right" vertical="top"/>
    </xf>
    <xf numFmtId="167" fontId="23" fillId="0" borderId="0" xfId="1" applyNumberFormat="1" applyFont="1" applyAlignment="1">
      <alignment horizontal="right" vertical="top"/>
    </xf>
    <xf numFmtId="3" fontId="7" fillId="0" borderId="0" xfId="0" applyNumberFormat="1" applyFont="1" applyBorder="1" applyAlignment="1">
      <alignment vertical="top"/>
    </xf>
    <xf numFmtId="0" fontId="21" fillId="0" borderId="0" xfId="0" applyFont="1" applyAlignment="1">
      <alignment vertical="top"/>
    </xf>
    <xf numFmtId="0" fontId="2" fillId="0" borderId="0" xfId="0" applyFont="1" applyAlignment="1">
      <alignment vertical="top"/>
    </xf>
    <xf numFmtId="0" fontId="25" fillId="0" borderId="0" xfId="0" applyFont="1" applyBorder="1" applyAlignment="1">
      <alignment horizontal="center" vertical="top" wrapText="1"/>
    </xf>
    <xf numFmtId="0" fontId="26" fillId="0" borderId="19" xfId="0" applyFont="1" applyBorder="1" applyAlignment="1">
      <alignment horizontal="left" vertical="top" wrapText="1" indent="1"/>
    </xf>
    <xf numFmtId="0" fontId="27" fillId="0" borderId="0" xfId="0" applyFont="1" applyBorder="1" applyAlignment="1">
      <alignment horizontal="left" vertical="top" wrapText="1"/>
    </xf>
    <xf numFmtId="0" fontId="28" fillId="0" borderId="0" xfId="0" applyFont="1" applyAlignment="1">
      <alignment vertical="top"/>
    </xf>
    <xf numFmtId="0" fontId="29" fillId="0" borderId="0" xfId="0" applyFont="1" applyAlignment="1">
      <alignment vertical="top"/>
    </xf>
    <xf numFmtId="0" fontId="8" fillId="0" borderId="0" xfId="0" applyFont="1" applyAlignment="1">
      <alignment horizontal="left" vertical="top"/>
    </xf>
    <xf numFmtId="0" fontId="30" fillId="0" borderId="0" xfId="0" applyFont="1" applyAlignment="1">
      <alignment vertical="top"/>
    </xf>
    <xf numFmtId="0" fontId="5" fillId="0" borderId="19" xfId="0" applyFont="1" applyBorder="1" applyAlignment="1">
      <alignment horizontal="left" vertical="top" wrapText="1" indent="1"/>
    </xf>
    <xf numFmtId="0" fontId="3" fillId="0" borderId="0" xfId="0" applyFont="1" applyAlignment="1">
      <alignment horizontal="left" vertical="top"/>
    </xf>
    <xf numFmtId="0" fontId="7" fillId="0" borderId="0" xfId="0" applyFont="1" applyFill="1"/>
    <xf numFmtId="0" fontId="31" fillId="0" borderId="0" xfId="0" applyFont="1" applyBorder="1" applyAlignment="1">
      <alignment horizontal="center" wrapText="1"/>
    </xf>
    <xf numFmtId="0" fontId="32" fillId="0" borderId="0" xfId="0" applyFont="1" applyBorder="1" applyAlignment="1">
      <alignment horizontal="center" wrapText="1"/>
    </xf>
    <xf numFmtId="0" fontId="10" fillId="0" borderId="29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0" fillId="0" borderId="30" xfId="0" applyFont="1" applyFill="1" applyBorder="1" applyAlignment="1">
      <alignment horizontal="center" vertical="center" wrapText="1"/>
    </xf>
    <xf numFmtId="0" fontId="21" fillId="0" borderId="29" xfId="0" applyFont="1" applyFill="1" applyBorder="1" applyAlignment="1">
      <alignment vertical="top" wrapText="1"/>
    </xf>
    <xf numFmtId="164" fontId="24" fillId="0" borderId="0" xfId="0" applyNumberFormat="1" applyFont="1" applyBorder="1" applyAlignment="1">
      <alignment horizontal="center" vertical="top" wrapText="1"/>
    </xf>
    <xf numFmtId="0" fontId="21" fillId="0" borderId="0" xfId="0" applyFont="1" applyFill="1" applyBorder="1" applyAlignment="1">
      <alignment vertical="top" wrapText="1"/>
    </xf>
    <xf numFmtId="0" fontId="21" fillId="0" borderId="30" xfId="0" applyFont="1" applyFill="1" applyBorder="1" applyAlignment="1">
      <alignment vertical="top" wrapText="1"/>
    </xf>
    <xf numFmtId="168" fontId="24" fillId="0" borderId="0" xfId="3" applyNumberFormat="1" applyFont="1" applyBorder="1" applyAlignment="1">
      <alignment horizontal="center" vertical="top" wrapText="1"/>
    </xf>
    <xf numFmtId="164" fontId="12" fillId="0" borderId="0" xfId="0" applyNumberFormat="1" applyFont="1" applyFill="1" applyBorder="1" applyAlignment="1">
      <alignment horizontal="center" vertical="top" wrapText="1"/>
    </xf>
    <xf numFmtId="164" fontId="12" fillId="0" borderId="0" xfId="0" applyNumberFormat="1" applyFont="1" applyBorder="1" applyAlignment="1">
      <alignment horizontal="center" vertical="top" wrapText="1"/>
    </xf>
    <xf numFmtId="0" fontId="24" fillId="0" borderId="29" xfId="0" applyFont="1" applyFill="1" applyBorder="1" applyAlignment="1">
      <alignment vertical="top" wrapText="1"/>
    </xf>
    <xf numFmtId="0" fontId="12" fillId="0" borderId="31" xfId="0" applyFont="1" applyBorder="1" applyAlignment="1">
      <alignment horizontal="left" vertical="top" wrapText="1"/>
    </xf>
    <xf numFmtId="164" fontId="12" fillId="0" borderId="32" xfId="0" applyNumberFormat="1" applyFont="1" applyBorder="1" applyAlignment="1">
      <alignment horizontal="center" vertical="top" wrapText="1"/>
    </xf>
    <xf numFmtId="0" fontId="14" fillId="0" borderId="32" xfId="0" applyFont="1" applyBorder="1" applyAlignment="1">
      <alignment horizontal="left" vertical="top" wrapText="1"/>
    </xf>
    <xf numFmtId="0" fontId="2" fillId="0" borderId="32" xfId="0" applyFont="1" applyBorder="1" applyAlignment="1">
      <alignment horizontal="left" vertical="top" wrapText="1"/>
    </xf>
    <xf numFmtId="0" fontId="14" fillId="0" borderId="33" xfId="0" applyFont="1" applyBorder="1" applyAlignment="1">
      <alignment horizontal="left" vertical="top" wrapText="1"/>
    </xf>
    <xf numFmtId="0" fontId="16" fillId="0" borderId="0" xfId="0" applyFont="1" applyBorder="1"/>
    <xf numFmtId="0" fontId="8" fillId="0" borderId="0" xfId="0" applyFont="1" applyAlignment="1">
      <alignment horizontal="center"/>
    </xf>
    <xf numFmtId="0" fontId="16" fillId="0" borderId="0" xfId="0" applyFont="1"/>
    <xf numFmtId="0" fontId="12" fillId="0" borderId="0" xfId="0" applyFont="1" applyBorder="1" applyAlignment="1">
      <alignment horizontal="left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 wrapText="1"/>
    </xf>
    <xf numFmtId="0" fontId="31" fillId="0" borderId="0" xfId="0" applyFont="1" applyBorder="1" applyAlignment="1">
      <alignment horizontal="center" vertical="top" wrapText="1"/>
    </xf>
    <xf numFmtId="0" fontId="32" fillId="0" borderId="0" xfId="0" applyFont="1" applyBorder="1" applyAlignment="1">
      <alignment horizontal="center" vertical="top" wrapText="1"/>
    </xf>
    <xf numFmtId="0" fontId="5" fillId="0" borderId="36" xfId="0" applyFont="1" applyFill="1" applyBorder="1" applyAlignment="1">
      <alignment horizontal="left" vertical="center" wrapText="1"/>
    </xf>
    <xf numFmtId="0" fontId="5" fillId="0" borderId="37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left" vertical="center" wrapText="1"/>
    </xf>
    <xf numFmtId="0" fontId="13" fillId="0" borderId="4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center" vertical="top" wrapText="1"/>
    </xf>
    <xf numFmtId="0" fontId="14" fillId="0" borderId="4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3" fontId="5" fillId="0" borderId="0" xfId="0" applyNumberFormat="1" applyFont="1" applyFill="1" applyBorder="1" applyAlignment="1">
      <alignment horizontal="right" vertical="top" wrapText="1"/>
    </xf>
    <xf numFmtId="3" fontId="12" fillId="0" borderId="0" xfId="0" applyNumberFormat="1" applyFont="1" applyFill="1" applyBorder="1" applyAlignment="1">
      <alignment horizontal="right" vertical="top" wrapText="1"/>
    </xf>
    <xf numFmtId="0" fontId="12" fillId="0" borderId="0" xfId="0" applyFont="1" applyBorder="1" applyAlignment="1">
      <alignment horizontal="right" vertical="top" wrapText="1"/>
    </xf>
    <xf numFmtId="0" fontId="14" fillId="0" borderId="0" xfId="0" applyFont="1" applyFill="1" applyBorder="1" applyAlignment="1">
      <alignment horizontal="right" vertical="top" wrapText="1"/>
    </xf>
    <xf numFmtId="0" fontId="14" fillId="0" borderId="0" xfId="0" applyFont="1" applyBorder="1" applyAlignment="1">
      <alignment horizontal="right" vertical="top" wrapText="1"/>
    </xf>
    <xf numFmtId="3" fontId="2" fillId="0" borderId="0" xfId="0" applyNumberFormat="1" applyFont="1" applyFill="1" applyBorder="1" applyAlignment="1">
      <alignment horizontal="right" vertical="top" wrapText="1"/>
    </xf>
    <xf numFmtId="0" fontId="12" fillId="0" borderId="2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right" vertical="top" wrapText="1"/>
    </xf>
    <xf numFmtId="0" fontId="5" fillId="0" borderId="2" xfId="0" applyFont="1" applyBorder="1" applyAlignment="1">
      <alignment horizontal="right" vertical="top" wrapText="1"/>
    </xf>
    <xf numFmtId="0" fontId="31" fillId="0" borderId="2" xfId="0" applyFont="1" applyBorder="1" applyAlignment="1">
      <alignment horizontal="center" vertical="top" wrapText="1"/>
    </xf>
    <xf numFmtId="0" fontId="32" fillId="0" borderId="2" xfId="0" applyFont="1" applyBorder="1" applyAlignment="1">
      <alignment horizontal="center" vertical="top" wrapText="1"/>
    </xf>
    <xf numFmtId="0" fontId="5" fillId="0" borderId="3" xfId="0" applyFont="1" applyFill="1" applyBorder="1" applyAlignment="1">
      <alignment horizontal="left" vertical="center" wrapText="1"/>
    </xf>
    <xf numFmtId="0" fontId="5" fillId="0" borderId="38" xfId="0" applyFont="1" applyFill="1" applyBorder="1" applyAlignment="1">
      <alignment horizontal="center" vertical="center" wrapText="1"/>
    </xf>
    <xf numFmtId="0" fontId="2" fillId="0" borderId="5" xfId="0" applyFont="1" applyFill="1" applyBorder="1" applyAlignment="1">
      <alignment horizontal="left" vertical="center" wrapText="1"/>
    </xf>
    <xf numFmtId="4" fontId="12" fillId="0" borderId="0" xfId="0" applyNumberFormat="1" applyFont="1" applyFill="1" applyBorder="1" applyAlignment="1">
      <alignment horizontal="right" vertical="top" wrapText="1"/>
    </xf>
    <xf numFmtId="0" fontId="14" fillId="0" borderId="5" xfId="0" applyFont="1" applyBorder="1" applyAlignment="1">
      <alignment horizontal="right" vertical="top" wrapText="1"/>
    </xf>
    <xf numFmtId="0" fontId="12" fillId="0" borderId="5" xfId="0" applyFont="1" applyBorder="1" applyAlignment="1">
      <alignment horizontal="left" vertical="top" wrapText="1"/>
    </xf>
    <xf numFmtId="3" fontId="12" fillId="0" borderId="5" xfId="0" applyNumberFormat="1" applyFont="1" applyFill="1" applyBorder="1" applyAlignment="1">
      <alignment horizontal="right" vertical="top" wrapText="1"/>
    </xf>
    <xf numFmtId="3" fontId="14" fillId="0" borderId="5" xfId="0" applyNumberFormat="1" applyFont="1" applyFill="1" applyBorder="1" applyAlignment="1">
      <alignment horizontal="right" vertical="top" wrapText="1"/>
    </xf>
    <xf numFmtId="0" fontId="32" fillId="0" borderId="0" xfId="0" applyFont="1" applyBorder="1" applyAlignment="1">
      <alignment horizontal="left" vertical="top" wrapText="1"/>
    </xf>
    <xf numFmtId="0" fontId="7" fillId="0" borderId="39" xfId="0" applyFont="1" applyBorder="1" applyAlignment="1">
      <alignment vertical="top"/>
    </xf>
    <xf numFmtId="4" fontId="7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0" fontId="2" fillId="0" borderId="0" xfId="0" applyFont="1" applyFill="1"/>
    <xf numFmtId="0" fontId="2" fillId="0" borderId="0" xfId="0" applyFont="1"/>
    <xf numFmtId="0" fontId="2" fillId="0" borderId="0" xfId="0" applyFont="1" applyAlignment="1">
      <alignment horizontal="center" vertical="center" textRotation="180"/>
    </xf>
    <xf numFmtId="0" fontId="2" fillId="0" borderId="0" xfId="0" applyFont="1" applyAlignment="1">
      <alignment vertical="center" textRotation="180"/>
    </xf>
    <xf numFmtId="0" fontId="5" fillId="0" borderId="41" xfId="0" applyFont="1" applyFill="1" applyBorder="1" applyAlignment="1">
      <alignment horizontal="center" vertical="center" wrapText="1"/>
    </xf>
    <xf numFmtId="164" fontId="5" fillId="0" borderId="0" xfId="0" applyNumberFormat="1" applyFont="1" applyAlignment="1">
      <alignment horizontal="right" vertical="top" wrapText="1"/>
    </xf>
    <xf numFmtId="3" fontId="5" fillId="0" borderId="0" xfId="0" applyNumberFormat="1" applyFont="1" applyFill="1" applyAlignment="1">
      <alignment horizontal="right" vertical="top" wrapText="1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horizontal="left" vertical="center" wrapText="1"/>
    </xf>
    <xf numFmtId="3" fontId="2" fillId="0" borderId="0" xfId="0" applyNumberFormat="1" applyFont="1" applyFill="1" applyAlignment="1">
      <alignment horizontal="right" vertical="top" wrapText="1"/>
    </xf>
    <xf numFmtId="0" fontId="2" fillId="0" borderId="0" xfId="0" applyFont="1" applyAlignment="1">
      <alignment horizontal="right" vertical="center" wrapText="1"/>
    </xf>
    <xf numFmtId="0" fontId="5" fillId="0" borderId="2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2" fillId="0" borderId="0" xfId="0" applyFont="1" applyBorder="1"/>
    <xf numFmtId="0" fontId="2" fillId="0" borderId="0" xfId="0" applyFont="1" applyBorder="1" applyAlignment="1">
      <alignment horizontal="center" vertical="center" textRotation="180"/>
    </xf>
    <xf numFmtId="0" fontId="5" fillId="0" borderId="4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center" wrapText="1"/>
    </xf>
    <xf numFmtId="0" fontId="5" fillId="0" borderId="5" xfId="0" applyFont="1" applyFill="1" applyBorder="1" applyAlignment="1">
      <alignment horizontal="center" wrapText="1"/>
    </xf>
    <xf numFmtId="0" fontId="6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164" fontId="5" fillId="0" borderId="0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center" wrapText="1"/>
    </xf>
    <xf numFmtId="3" fontId="2" fillId="0" borderId="0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center" wrapText="1" indent="1"/>
    </xf>
    <xf numFmtId="0" fontId="5" fillId="0" borderId="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 wrapText="1" indent="1"/>
    </xf>
    <xf numFmtId="0" fontId="5" fillId="0" borderId="0" xfId="0" applyFont="1" applyBorder="1" applyAlignment="1">
      <alignment horizontal="right" vertical="top" wrapText="1" indent="1"/>
    </xf>
    <xf numFmtId="0" fontId="5" fillId="0" borderId="0" xfId="0" applyFont="1" applyAlignment="1">
      <alignment horizontal="right" vertical="top" wrapText="1" indent="1"/>
    </xf>
    <xf numFmtId="3" fontId="2" fillId="0" borderId="0" xfId="0" applyNumberFormat="1" applyFont="1" applyAlignment="1">
      <alignment horizontal="right" vertical="top" wrapText="1"/>
    </xf>
    <xf numFmtId="0" fontId="2" fillId="0" borderId="5" xfId="0" applyFont="1" applyBorder="1" applyAlignment="1">
      <alignment horizontal="center" vertical="center" textRotation="180"/>
    </xf>
    <xf numFmtId="0" fontId="6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39" xfId="0" applyFont="1" applyBorder="1"/>
    <xf numFmtId="3" fontId="5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Border="1" applyAlignment="1">
      <alignment horizontal="right" vertical="center" wrapText="1"/>
    </xf>
    <xf numFmtId="3" fontId="2" fillId="0" borderId="0" xfId="0" applyNumberFormat="1" applyFont="1" applyBorder="1"/>
    <xf numFmtId="37" fontId="2" fillId="0" borderId="0" xfId="1" applyNumberFormat="1" applyFont="1"/>
    <xf numFmtId="0" fontId="5" fillId="0" borderId="45" xfId="0" applyFont="1" applyFill="1" applyBorder="1" applyAlignment="1">
      <alignment horizontal="center" vertical="center" wrapText="1"/>
    </xf>
    <xf numFmtId="3" fontId="5" fillId="0" borderId="0" xfId="0" applyNumberFormat="1" applyFont="1" applyBorder="1" applyAlignment="1">
      <alignment horizontal="right" vertical="top" wrapText="1"/>
    </xf>
    <xf numFmtId="0" fontId="5" fillId="0" borderId="0" xfId="0" applyFont="1" applyBorder="1" applyAlignment="1">
      <alignment horizontal="right" vertical="top" wrapText="1"/>
    </xf>
    <xf numFmtId="0" fontId="2" fillId="0" borderId="0" xfId="0" applyFont="1" applyBorder="1" applyAlignment="1">
      <alignment horizontal="right" vertical="top" wrapText="1"/>
    </xf>
    <xf numFmtId="0" fontId="2" fillId="0" borderId="5" xfId="0" applyFont="1" applyBorder="1" applyAlignment="1">
      <alignment horizontal="right"/>
    </xf>
    <xf numFmtId="0" fontId="36" fillId="0" borderId="0" xfId="0" applyFont="1" applyFill="1" applyBorder="1" applyAlignment="1">
      <alignment horizontal="center" vertical="top" wrapText="1"/>
    </xf>
    <xf numFmtId="0" fontId="10" fillId="0" borderId="0" xfId="0" applyFont="1" applyFill="1" applyBorder="1" applyAlignment="1">
      <alignment horizontal="right" vertical="center"/>
    </xf>
    <xf numFmtId="3" fontId="12" fillId="0" borderId="0" xfId="0" applyNumberFormat="1" applyFont="1" applyAlignment="1">
      <alignment horizontal="right" vertical="top" wrapText="1"/>
    </xf>
    <xf numFmtId="3" fontId="14" fillId="0" borderId="0" xfId="0" applyNumberFormat="1" applyFont="1" applyFill="1" applyBorder="1" applyAlignment="1">
      <alignment horizontal="right" vertical="top" wrapText="1"/>
    </xf>
    <xf numFmtId="3" fontId="14" fillId="0" borderId="0" xfId="0" applyNumberFormat="1" applyFont="1" applyAlignment="1">
      <alignment horizontal="right" vertical="top" wrapText="1"/>
    </xf>
    <xf numFmtId="165" fontId="14" fillId="0" borderId="0" xfId="0" applyNumberFormat="1" applyFont="1" applyAlignment="1">
      <alignment horizontal="right" vertical="top" wrapText="1"/>
    </xf>
    <xf numFmtId="0" fontId="12" fillId="0" borderId="0" xfId="0" applyFont="1" applyFill="1" applyBorder="1" applyAlignment="1">
      <alignment horizontal="right" vertical="top" wrapText="1"/>
    </xf>
    <xf numFmtId="2" fontId="12" fillId="0" borderId="0" xfId="0" applyNumberFormat="1" applyFont="1" applyFill="1" applyBorder="1" applyAlignment="1">
      <alignment horizontal="right" vertical="top" wrapText="1"/>
    </xf>
    <xf numFmtId="4" fontId="12" fillId="0" borderId="0" xfId="0" applyNumberFormat="1" applyFont="1" applyAlignment="1">
      <alignment horizontal="right" vertical="top" wrapText="1"/>
    </xf>
    <xf numFmtId="1" fontId="12" fillId="0" borderId="0" xfId="0" applyNumberFormat="1" applyFont="1" applyFill="1" applyBorder="1" applyAlignment="1">
      <alignment horizontal="right" vertical="top" wrapText="1"/>
    </xf>
    <xf numFmtId="0" fontId="7" fillId="0" borderId="2" xfId="0" applyFont="1" applyBorder="1"/>
    <xf numFmtId="0" fontId="7" fillId="0" borderId="0" xfId="0" applyFont="1" applyFill="1" applyBorder="1"/>
    <xf numFmtId="3" fontId="12" fillId="0" borderId="0" xfId="0" applyNumberFormat="1" applyFont="1" applyFill="1" applyAlignment="1">
      <alignment horizontal="right" vertical="top" wrapText="1"/>
    </xf>
    <xf numFmtId="3" fontId="14" fillId="0" borderId="0" xfId="0" applyNumberFormat="1" applyFont="1" applyFill="1" applyAlignment="1">
      <alignment horizontal="right" vertical="top" wrapText="1"/>
    </xf>
    <xf numFmtId="165" fontId="14" fillId="0" borderId="0" xfId="0" applyNumberFormat="1" applyFont="1" applyFill="1" applyAlignment="1">
      <alignment horizontal="right" vertical="top" wrapText="1"/>
    </xf>
    <xf numFmtId="0" fontId="7" fillId="0" borderId="2" xfId="0" applyFont="1" applyFill="1" applyBorder="1"/>
    <xf numFmtId="4" fontId="53" fillId="0" borderId="0" xfId="0" applyNumberFormat="1" applyFont="1" applyFill="1" applyAlignment="1">
      <alignment horizontal="right" vertical="top" wrapText="1"/>
    </xf>
    <xf numFmtId="165" fontId="51" fillId="0" borderId="0" xfId="0" applyNumberFormat="1" applyFont="1" applyFill="1" applyAlignment="1">
      <alignment horizontal="right" vertical="top" wrapText="1"/>
    </xf>
    <xf numFmtId="3" fontId="53" fillId="0" borderId="0" xfId="0" applyNumberFormat="1" applyFont="1" applyFill="1" applyAlignment="1">
      <alignment horizontal="right" vertical="top" wrapText="1"/>
    </xf>
    <xf numFmtId="0" fontId="54" fillId="0" borderId="0" xfId="0" applyFont="1" applyAlignment="1">
      <alignment vertical="top" wrapText="1"/>
    </xf>
    <xf numFmtId="0" fontId="55" fillId="0" borderId="0" xfId="0" applyFont="1" applyAlignment="1">
      <alignment vertical="top" wrapText="1"/>
    </xf>
    <xf numFmtId="0" fontId="58" fillId="0" borderId="0" xfId="17" applyFont="1"/>
    <xf numFmtId="164" fontId="58" fillId="0" borderId="0" xfId="17" applyNumberFormat="1" applyFont="1"/>
    <xf numFmtId="0" fontId="57" fillId="0" borderId="0" xfId="17" applyFont="1" applyAlignment="1">
      <alignment horizontal="center"/>
    </xf>
    <xf numFmtId="3" fontId="58" fillId="0" borderId="0" xfId="17" applyNumberFormat="1" applyFont="1"/>
    <xf numFmtId="0" fontId="58" fillId="0" borderId="0" xfId="17" applyFont="1" applyBorder="1"/>
    <xf numFmtId="164" fontId="53" fillId="0" borderId="2" xfId="17" applyNumberFormat="1" applyFont="1" applyFill="1" applyBorder="1" applyAlignment="1">
      <alignment horizontal="right" vertical="top" wrapText="1" indent="1"/>
    </xf>
    <xf numFmtId="167" fontId="53" fillId="0" borderId="2" xfId="18" applyNumberFormat="1" applyFont="1" applyBorder="1" applyAlignment="1">
      <alignment horizontal="right" vertical="top"/>
    </xf>
    <xf numFmtId="0" fontId="53" fillId="0" borderId="2" xfId="17" applyFont="1" applyFill="1" applyBorder="1" applyAlignment="1">
      <alignment horizontal="left" vertical="top" wrapText="1"/>
    </xf>
    <xf numFmtId="0" fontId="53" fillId="0" borderId="0" xfId="17" applyFont="1" applyFill="1" applyBorder="1" applyAlignment="1">
      <alignment horizontal="right" vertical="center" wrapText="1" indent="6"/>
    </xf>
    <xf numFmtId="3" fontId="53" fillId="0" borderId="0" xfId="17" applyNumberFormat="1" applyFont="1" applyFill="1" applyBorder="1" applyAlignment="1">
      <alignment horizontal="right" vertical="center" wrapText="1" indent="2"/>
    </xf>
    <xf numFmtId="0" fontId="53" fillId="0" borderId="0" xfId="17" applyFont="1" applyFill="1" applyBorder="1" applyAlignment="1">
      <alignment horizontal="left" vertical="center" wrapText="1"/>
    </xf>
    <xf numFmtId="0" fontId="53" fillId="0" borderId="2" xfId="17" applyFont="1" applyBorder="1" applyAlignment="1">
      <alignment horizontal="right" vertical="center" wrapText="1" indent="6"/>
    </xf>
    <xf numFmtId="3" fontId="53" fillId="0" borderId="2" xfId="17" applyNumberFormat="1" applyFont="1" applyBorder="1" applyAlignment="1">
      <alignment horizontal="right" vertical="center" wrapText="1" indent="2"/>
    </xf>
    <xf numFmtId="0" fontId="53" fillId="0" borderId="2" xfId="17" applyFont="1" applyBorder="1" applyAlignment="1">
      <alignment horizontal="left" vertical="center" wrapText="1"/>
    </xf>
    <xf numFmtId="170" fontId="58" fillId="0" borderId="0" xfId="17" applyNumberFormat="1" applyFont="1"/>
    <xf numFmtId="164" fontId="53" fillId="0" borderId="0" xfId="17" applyNumberFormat="1" applyFont="1" applyFill="1" applyAlignment="1">
      <alignment horizontal="right" vertical="top" wrapText="1" indent="1"/>
    </xf>
    <xf numFmtId="164" fontId="53" fillId="0" borderId="0" xfId="17" applyNumberFormat="1" applyFont="1" applyFill="1" applyBorder="1" applyAlignment="1">
      <alignment horizontal="right" vertical="top" wrapText="1" indent="1"/>
    </xf>
    <xf numFmtId="169" fontId="59" fillId="0" borderId="0" xfId="18" applyNumberFormat="1" applyFont="1" applyFill="1" applyBorder="1" applyAlignment="1">
      <alignment horizontal="right" vertical="top" wrapText="1" readingOrder="1"/>
    </xf>
    <xf numFmtId="0" fontId="53" fillId="0" borderId="0" xfId="17" applyFont="1" applyBorder="1" applyAlignment="1">
      <alignment horizontal="left" vertical="top" wrapText="1"/>
    </xf>
    <xf numFmtId="164" fontId="51" fillId="0" borderId="0" xfId="17" applyNumberFormat="1" applyFont="1" applyFill="1" applyAlignment="1">
      <alignment horizontal="right" vertical="top" wrapText="1" indent="1"/>
    </xf>
    <xf numFmtId="169" fontId="60" fillId="0" borderId="0" xfId="18" applyNumberFormat="1" applyFont="1" applyFill="1" applyBorder="1" applyAlignment="1">
      <alignment horizontal="right" vertical="top" wrapText="1" readingOrder="1"/>
    </xf>
    <xf numFmtId="0" fontId="53" fillId="0" borderId="0" xfId="17" applyFont="1" applyBorder="1" applyAlignment="1">
      <alignment horizontal="left" vertical="top" wrapText="1" indent="2"/>
    </xf>
    <xf numFmtId="0" fontId="53" fillId="0" borderId="0" xfId="17" applyFont="1" applyAlignment="1">
      <alignment horizontal="left" vertical="top" wrapText="1" indent="2"/>
    </xf>
    <xf numFmtId="168" fontId="58" fillId="0" borderId="0" xfId="17" applyNumberFormat="1" applyFont="1"/>
    <xf numFmtId="0" fontId="53" fillId="0" borderId="0" xfId="17" applyFont="1" applyBorder="1" applyAlignment="1">
      <alignment horizontal="center" vertical="center" wrapText="1"/>
    </xf>
    <xf numFmtId="3" fontId="53" fillId="0" borderId="0" xfId="17" applyNumberFormat="1" applyFont="1" applyBorder="1" applyAlignment="1">
      <alignment horizontal="center" vertical="center" wrapText="1"/>
    </xf>
    <xf numFmtId="0" fontId="53" fillId="0" borderId="0" xfId="17" applyFont="1" applyBorder="1" applyAlignment="1">
      <alignment horizontal="left" vertical="center" wrapText="1"/>
    </xf>
    <xf numFmtId="0" fontId="53" fillId="0" borderId="35" xfId="17" applyFont="1" applyFill="1" applyBorder="1" applyAlignment="1">
      <alignment horizontal="center" vertical="center" wrapText="1"/>
    </xf>
    <xf numFmtId="0" fontId="61" fillId="0" borderId="0" xfId="17" applyFont="1" applyBorder="1" applyAlignment="1">
      <alignment horizontal="center" wrapText="1"/>
    </xf>
    <xf numFmtId="0" fontId="61" fillId="0" borderId="2" xfId="17" applyFont="1" applyBorder="1" applyAlignment="1">
      <alignment horizontal="center" wrapText="1"/>
    </xf>
    <xf numFmtId="0" fontId="62" fillId="0" borderId="2" xfId="17" applyFont="1" applyBorder="1" applyAlignment="1">
      <alignment horizontal="center" wrapText="1"/>
    </xf>
    <xf numFmtId="0" fontId="24" fillId="0" borderId="0" xfId="0" applyFont="1" applyFill="1" applyBorder="1" applyAlignment="1">
      <alignment horizontal="left" vertical="top" wrapText="1" indent="2"/>
    </xf>
    <xf numFmtId="0" fontId="24" fillId="0" borderId="4" xfId="0" applyFont="1" applyBorder="1" applyAlignment="1">
      <alignment horizontal="right" vertical="center" wrapText="1"/>
    </xf>
    <xf numFmtId="0" fontId="24" fillId="0" borderId="5" xfId="0" applyFont="1" applyBorder="1" applyAlignment="1">
      <alignment horizontal="right" vertical="center" wrapText="1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left" vertical="top" wrapText="1" indent="2"/>
    </xf>
    <xf numFmtId="0" fontId="33" fillId="0" borderId="0" xfId="0" applyFont="1" applyBorder="1" applyAlignment="1">
      <alignment horizontal="center" wrapText="1"/>
    </xf>
    <xf numFmtId="0" fontId="34" fillId="0" borderId="0" xfId="0" applyFont="1" applyBorder="1" applyAlignment="1">
      <alignment horizontal="center" vertical="top" wrapText="1"/>
    </xf>
    <xf numFmtId="0" fontId="5" fillId="0" borderId="4" xfId="0" applyFont="1" applyFill="1" applyBorder="1" applyAlignment="1">
      <alignment horizontal="center" wrapText="1"/>
    </xf>
    <xf numFmtId="0" fontId="35" fillId="0" borderId="5" xfId="0" applyFont="1" applyFill="1" applyBorder="1" applyAlignment="1">
      <alignment horizontal="center" vertical="top" wrapText="1"/>
    </xf>
    <xf numFmtId="0" fontId="24" fillId="0" borderId="4" xfId="0" applyFont="1" applyFill="1" applyBorder="1" applyAlignment="1">
      <alignment horizontal="right" vertical="center" wrapText="1"/>
    </xf>
    <xf numFmtId="0" fontId="24" fillId="0" borderId="5" xfId="0" applyFont="1" applyFill="1" applyBorder="1" applyAlignment="1">
      <alignment horizontal="right" vertical="center" wrapText="1"/>
    </xf>
    <xf numFmtId="0" fontId="5" fillId="0" borderId="0" xfId="0" applyFont="1" applyBorder="1" applyAlignment="1">
      <alignment horizontal="right" vertical="top" wrapText="1"/>
    </xf>
    <xf numFmtId="0" fontId="5" fillId="0" borderId="5" xfId="0" applyFont="1" applyBorder="1" applyAlignment="1">
      <alignment horizontal="right" vertical="top" wrapText="1"/>
    </xf>
    <xf numFmtId="0" fontId="5" fillId="0" borderId="0" xfId="0" applyFont="1" applyFill="1" applyBorder="1" applyAlignment="1">
      <alignment horizontal="center" wrapText="1"/>
    </xf>
    <xf numFmtId="0" fontId="5" fillId="0" borderId="5" xfId="0" applyFont="1" applyFill="1" applyBorder="1" applyAlignment="1">
      <alignment horizontal="center" wrapText="1"/>
    </xf>
    <xf numFmtId="0" fontId="5" fillId="0" borderId="34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textRotation="180"/>
    </xf>
    <xf numFmtId="0" fontId="2" fillId="0" borderId="0" xfId="0" applyFont="1" applyBorder="1" applyAlignment="1">
      <alignment horizontal="right" vertical="center" wrapText="1"/>
    </xf>
    <xf numFmtId="0" fontId="2" fillId="0" borderId="5" xfId="0" applyFont="1" applyBorder="1" applyAlignment="1">
      <alignment horizontal="right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right" vertical="top" wrapText="1" indent="1"/>
    </xf>
    <xf numFmtId="0" fontId="5" fillId="0" borderId="5" xfId="0" applyFont="1" applyBorder="1" applyAlignment="1">
      <alignment horizontal="right" vertical="top" wrapText="1" indent="1"/>
    </xf>
    <xf numFmtId="0" fontId="5" fillId="0" borderId="5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5" xfId="0" applyFont="1" applyFill="1" applyBorder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0" fontId="3" fillId="0" borderId="42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44" xfId="0" applyFont="1" applyBorder="1" applyAlignment="1">
      <alignment horizontal="center" wrapText="1"/>
    </xf>
    <xf numFmtId="0" fontId="4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0" xfId="0" applyFont="1" applyFill="1" applyBorder="1" applyAlignment="1">
      <alignment horizontal="center" vertical="center" wrapText="1"/>
    </xf>
    <xf numFmtId="0" fontId="5" fillId="0" borderId="43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top" wrapText="1"/>
    </xf>
    <xf numFmtId="0" fontId="5" fillId="0" borderId="0" xfId="0" applyFont="1" applyFill="1" applyBorder="1" applyAlignment="1">
      <alignment horizontal="center" vertical="top" wrapText="1"/>
    </xf>
    <xf numFmtId="0" fontId="5" fillId="0" borderId="5" xfId="0" applyFont="1" applyFill="1" applyBorder="1" applyAlignment="1">
      <alignment horizontal="center" vertical="top" wrapText="1"/>
    </xf>
    <xf numFmtId="0" fontId="9" fillId="0" borderId="0" xfId="0" applyFont="1" applyBorder="1" applyAlignment="1">
      <alignment horizontal="center" vertical="top" wrapText="1"/>
    </xf>
    <xf numFmtId="0" fontId="8" fillId="0" borderId="0" xfId="0" applyFont="1" applyBorder="1" applyAlignment="1">
      <alignment horizontal="center" vertical="top" wrapText="1"/>
    </xf>
    <xf numFmtId="0" fontId="9" fillId="0" borderId="0" xfId="0" applyFont="1" applyAlignment="1">
      <alignment horizontal="center" vertical="top" wrapText="1"/>
    </xf>
    <xf numFmtId="0" fontId="5" fillId="0" borderId="36" xfId="0" applyFont="1" applyFill="1" applyBorder="1" applyAlignment="1">
      <alignment horizontal="center" vertical="center" wrapText="1"/>
    </xf>
    <xf numFmtId="0" fontId="57" fillId="0" borderId="0" xfId="17" applyFont="1" applyBorder="1" applyAlignment="1">
      <alignment horizontal="center" wrapText="1"/>
    </xf>
    <xf numFmtId="0" fontId="56" fillId="0" borderId="0" xfId="17" applyFont="1" applyBorder="1" applyAlignment="1">
      <alignment horizontal="center" vertical="top" wrapText="1"/>
    </xf>
    <xf numFmtId="0" fontId="53" fillId="0" borderId="0" xfId="17" applyFont="1" applyFill="1" applyBorder="1" applyAlignment="1">
      <alignment horizontal="center" vertical="center" wrapText="1"/>
    </xf>
    <xf numFmtId="0" fontId="53" fillId="0" borderId="2" xfId="17" applyFont="1" applyFill="1" applyBorder="1" applyAlignment="1">
      <alignment horizontal="center" vertical="center" wrapText="1"/>
    </xf>
    <xf numFmtId="0" fontId="53" fillId="0" borderId="34" xfId="17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wrapText="1"/>
    </xf>
    <xf numFmtId="0" fontId="5" fillId="0" borderId="24" xfId="0" applyFont="1" applyFill="1" applyBorder="1" applyAlignment="1">
      <alignment horizontal="center" vertical="center" wrapText="1"/>
    </xf>
    <xf numFmtId="0" fontId="5" fillId="0" borderId="27" xfId="0" applyFont="1" applyFill="1" applyBorder="1" applyAlignment="1">
      <alignment horizontal="center" vertical="center" wrapText="1"/>
    </xf>
    <xf numFmtId="0" fontId="5" fillId="0" borderId="25" xfId="0" applyFont="1" applyFill="1" applyBorder="1" applyAlignment="1">
      <alignment horizontal="center" vertical="center" wrapText="1"/>
    </xf>
    <xf numFmtId="0" fontId="5" fillId="0" borderId="26" xfId="0" applyFont="1" applyFill="1" applyBorder="1" applyAlignment="1">
      <alignment horizontal="center" vertical="center" wrapText="1"/>
    </xf>
    <xf numFmtId="0" fontId="5" fillId="0" borderId="28" xfId="0" applyFont="1" applyFill="1" applyBorder="1" applyAlignment="1">
      <alignment horizontal="center" vertical="center" wrapText="1"/>
    </xf>
    <xf numFmtId="0" fontId="51" fillId="0" borderId="6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20" xfId="0" applyFont="1" applyBorder="1" applyAlignment="1">
      <alignment horizontal="left" vertical="top" wrapText="1"/>
    </xf>
    <xf numFmtId="0" fontId="51" fillId="0" borderId="21" xfId="0" applyFont="1" applyBorder="1" applyAlignment="1">
      <alignment horizontal="left" vertical="top" wrapText="1"/>
    </xf>
    <xf numFmtId="0" fontId="2" fillId="0" borderId="22" xfId="0" applyFont="1" applyBorder="1" applyAlignment="1">
      <alignment horizontal="left" vertical="top" wrapText="1"/>
    </xf>
    <xf numFmtId="0" fontId="2" fillId="0" borderId="23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center" vertical="top" wrapText="1"/>
    </xf>
    <xf numFmtId="0" fontId="5" fillId="0" borderId="19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top" wrapText="1"/>
    </xf>
    <xf numFmtId="0" fontId="4" fillId="0" borderId="0" xfId="0" applyFont="1" applyFill="1" applyBorder="1" applyAlignment="1">
      <alignment horizontal="center" vertical="top" wrapText="1"/>
    </xf>
    <xf numFmtId="0" fontId="27" fillId="0" borderId="6" xfId="0" applyFont="1" applyBorder="1" applyAlignment="1">
      <alignment horizontal="left" vertical="top" wrapText="1" indent="1"/>
    </xf>
    <xf numFmtId="0" fontId="27" fillId="0" borderId="20" xfId="0" applyFont="1" applyBorder="1" applyAlignment="1">
      <alignment horizontal="left" vertical="top" wrapText="1" indent="1"/>
    </xf>
    <xf numFmtId="0" fontId="27" fillId="0" borderId="21" xfId="0" applyFont="1" applyBorder="1" applyAlignment="1">
      <alignment horizontal="left" vertical="top" wrapText="1" indent="1"/>
    </xf>
    <xf numFmtId="0" fontId="27" fillId="0" borderId="22" xfId="0" applyFont="1" applyBorder="1" applyAlignment="1">
      <alignment horizontal="left" vertical="top" wrapText="1" indent="1"/>
    </xf>
    <xf numFmtId="0" fontId="27" fillId="0" borderId="23" xfId="0" applyFont="1" applyBorder="1" applyAlignment="1">
      <alignment horizontal="left" vertical="top" wrapText="1" indent="1"/>
    </xf>
    <xf numFmtId="0" fontId="25" fillId="0" borderId="19" xfId="0" applyFont="1" applyFill="1" applyBorder="1" applyAlignment="1">
      <alignment horizontal="center" vertical="center" wrapText="1"/>
    </xf>
    <xf numFmtId="0" fontId="25" fillId="0" borderId="19" xfId="0" applyFont="1" applyFill="1" applyBorder="1" applyAlignment="1">
      <alignment horizontal="center" vertical="center"/>
    </xf>
    <xf numFmtId="0" fontId="25" fillId="0" borderId="6" xfId="0" applyFont="1" applyFill="1" applyBorder="1" applyAlignment="1">
      <alignment horizontal="center" vertical="center" wrapText="1"/>
    </xf>
    <xf numFmtId="0" fontId="25" fillId="0" borderId="2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top"/>
    </xf>
    <xf numFmtId="0" fontId="9" fillId="0" borderId="0" xfId="0" applyFont="1" applyBorder="1" applyAlignment="1">
      <alignment horizontal="center" vertical="top"/>
    </xf>
    <xf numFmtId="0" fontId="18" fillId="0" borderId="0" xfId="0" applyFont="1" applyBorder="1" applyAlignment="1">
      <alignment horizontal="center"/>
    </xf>
    <xf numFmtId="0" fontId="19" fillId="0" borderId="0" xfId="0" applyFont="1" applyBorder="1" applyAlignment="1">
      <alignment horizontal="center" vertical="top"/>
    </xf>
    <xf numFmtId="0" fontId="22" fillId="0" borderId="8" xfId="0" applyFont="1" applyFill="1" applyBorder="1" applyAlignment="1">
      <alignment horizontal="right" vertical="center"/>
    </xf>
    <xf numFmtId="0" fontId="22" fillId="0" borderId="4" xfId="0" applyFont="1" applyFill="1" applyBorder="1" applyAlignment="1">
      <alignment horizontal="right" vertical="center"/>
    </xf>
    <xf numFmtId="0" fontId="22" fillId="0" borderId="15" xfId="0" applyFont="1" applyFill="1" applyBorder="1" applyAlignment="1">
      <alignment horizontal="right" vertical="center"/>
    </xf>
    <xf numFmtId="0" fontId="22" fillId="0" borderId="10" xfId="0" applyFont="1" applyFill="1" applyBorder="1" applyAlignment="1">
      <alignment horizontal="center" vertical="center"/>
    </xf>
    <xf numFmtId="0" fontId="23" fillId="0" borderId="10" xfId="0" applyFont="1" applyFill="1" applyBorder="1" applyAlignment="1">
      <alignment horizontal="center" vertical="center"/>
    </xf>
    <xf numFmtId="0" fontId="23" fillId="0" borderId="16" xfId="0" applyFont="1" applyFill="1" applyBorder="1" applyAlignment="1">
      <alignment horizontal="center" vertical="center"/>
    </xf>
    <xf numFmtId="0" fontId="21" fillId="0" borderId="0" xfId="0" applyFont="1" applyFill="1" applyAlignment="1">
      <alignment horizontal="center" vertical="center" textRotation="180" wrapText="1"/>
    </xf>
    <xf numFmtId="0" fontId="21" fillId="0" borderId="0" xfId="0" applyFont="1" applyFill="1" applyAlignment="1">
      <alignment vertical="center" textRotation="180" wrapText="1"/>
    </xf>
    <xf numFmtId="0" fontId="23" fillId="0" borderId="9" xfId="0" applyFont="1" applyFill="1" applyBorder="1" applyAlignment="1">
      <alignment horizontal="center" vertical="center" wrapText="1"/>
    </xf>
    <xf numFmtId="0" fontId="23" fillId="0" borderId="11" xfId="0" applyFont="1" applyFill="1" applyBorder="1" applyAlignment="1">
      <alignment horizontal="center" vertical="center" wrapText="1"/>
    </xf>
    <xf numFmtId="0" fontId="23" fillId="0" borderId="12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top" wrapText="1" indent="1"/>
    </xf>
    <xf numFmtId="0" fontId="6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horizontal="center" vertical="top" wrapText="1"/>
    </xf>
  </cellXfs>
  <cellStyles count="19">
    <cellStyle name="Comma" xfId="1" builtinId="3"/>
    <cellStyle name="Comma 2" xfId="11"/>
    <cellStyle name="Comma 3" xfId="12"/>
    <cellStyle name="Comma 4" xfId="13"/>
    <cellStyle name="Comma 4 2" xfId="7"/>
    <cellStyle name="Comma 4 3" xfId="14"/>
    <cellStyle name="Comma 5" xfId="18"/>
    <cellStyle name="Normal" xfId="0" builtinId="0"/>
    <cellStyle name="Normal 2" xfId="8"/>
    <cellStyle name="Normal 3" xfId="9"/>
    <cellStyle name="Normal 4" xfId="5"/>
    <cellStyle name="Normal 4 2" xfId="6"/>
    <cellStyle name="Normal 5" xfId="17"/>
    <cellStyle name="Percent" xfId="3" builtinId="5"/>
    <cellStyle name="style1593067693117" xfId="4"/>
    <cellStyle name="style1593067693159" xfId="2"/>
    <cellStyle name="style1593067693398" xfId="15"/>
    <cellStyle name="style1593067693442" xfId="10"/>
    <cellStyle name="style1593074195898" xfId="16"/>
  </cellStyles>
  <dxfs count="0"/>
  <tableStyles count="0" defaultTableStyle="TableStyleMedium9" defaultPivotStyle="PivotStyleLight16"/>
  <colors>
    <mruColors>
      <color rgb="FF00CC99"/>
      <color rgb="FF23CF8D"/>
      <color rgb="FFFFE285"/>
      <color rgb="FFABFFE9"/>
      <color rgb="FF71FFDA"/>
      <color rgb="FF740228"/>
      <color rgb="FF990033"/>
      <color rgb="FFFEC200"/>
      <color rgb="FFFFD13F"/>
      <color rgb="FFE2A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view="pageBreakPreview" zoomScaleSheetLayoutView="100" workbookViewId="0">
      <selection activeCell="C13" sqref="C13"/>
    </sheetView>
  </sheetViews>
  <sheetFormatPr defaultColWidth="9.140625" defaultRowHeight="16.5"/>
  <cols>
    <col min="1" max="1" width="8.7109375" style="100" customWidth="1"/>
    <col min="2" max="2" width="25.7109375" style="100" customWidth="1"/>
    <col min="3" max="9" width="7.7109375" style="100" customWidth="1"/>
    <col min="10" max="10" width="8.5703125" style="152" customWidth="1"/>
    <col min="11" max="16384" width="9.140625" style="100"/>
  </cols>
  <sheetData>
    <row r="1" spans="1:10" ht="15" customHeight="1">
      <c r="A1" s="311" t="s">
        <v>0</v>
      </c>
      <c r="B1" s="311"/>
      <c r="C1" s="311"/>
      <c r="D1" s="311"/>
      <c r="E1" s="311"/>
      <c r="F1" s="311"/>
      <c r="G1" s="311"/>
      <c r="H1" s="311"/>
      <c r="I1" s="311"/>
      <c r="J1" s="311"/>
    </row>
    <row r="2" spans="1:10" ht="15" customHeight="1">
      <c r="A2" s="312" t="s">
        <v>1</v>
      </c>
      <c r="B2" s="312"/>
      <c r="C2" s="312"/>
      <c r="D2" s="312"/>
      <c r="E2" s="312"/>
      <c r="F2" s="312"/>
      <c r="G2" s="312"/>
      <c r="H2" s="312"/>
      <c r="I2" s="312"/>
      <c r="J2" s="312"/>
    </row>
    <row r="3" spans="1:10" ht="15" customHeight="1">
      <c r="A3" s="178"/>
      <c r="B3" s="179"/>
      <c r="C3" s="179"/>
      <c r="D3" s="99"/>
      <c r="E3" s="99"/>
      <c r="F3" s="99"/>
      <c r="G3" s="99"/>
      <c r="H3" s="99"/>
      <c r="I3" s="99"/>
      <c r="J3" s="265"/>
    </row>
    <row r="4" spans="1:10" ht="22.5" customHeight="1">
      <c r="A4" s="313" t="s">
        <v>2</v>
      </c>
      <c r="B4" s="313"/>
      <c r="C4" s="307">
        <v>2013</v>
      </c>
      <c r="D4" s="307">
        <v>2014</v>
      </c>
      <c r="E4" s="307">
        <v>2015</v>
      </c>
      <c r="F4" s="307">
        <v>2016</v>
      </c>
      <c r="G4" s="307">
        <v>2017</v>
      </c>
      <c r="H4" s="307">
        <v>2018</v>
      </c>
      <c r="I4" s="307">
        <v>2019</v>
      </c>
      <c r="J4" s="315">
        <v>2020</v>
      </c>
    </row>
    <row r="5" spans="1:10" ht="22.5" customHeight="1">
      <c r="A5" s="314" t="s">
        <v>3</v>
      </c>
      <c r="B5" s="314"/>
      <c r="C5" s="308"/>
      <c r="D5" s="308"/>
      <c r="E5" s="308"/>
      <c r="F5" s="308"/>
      <c r="G5" s="308"/>
      <c r="H5" s="308"/>
      <c r="I5" s="308"/>
      <c r="J5" s="316"/>
    </row>
    <row r="6" spans="1:10" s="152" customFormat="1" ht="15" customHeight="1">
      <c r="A6" s="254"/>
      <c r="B6" s="254"/>
      <c r="C6" s="255"/>
      <c r="D6" s="255"/>
      <c r="E6" s="255"/>
      <c r="F6" s="255"/>
      <c r="G6" s="255"/>
    </row>
    <row r="7" spans="1:10" ht="49.5" customHeight="1">
      <c r="A7" s="309" t="s">
        <v>4</v>
      </c>
      <c r="B7" s="309"/>
      <c r="C7" s="188">
        <v>54016</v>
      </c>
      <c r="D7" s="188">
        <v>62151</v>
      </c>
      <c r="E7" s="188">
        <v>67842</v>
      </c>
      <c r="F7" s="256">
        <v>74773</v>
      </c>
      <c r="G7" s="256">
        <v>83102.609782999949</v>
      </c>
      <c r="H7" s="256">
        <v>92561.341706329389</v>
      </c>
      <c r="I7" s="256">
        <v>103183.759714306</v>
      </c>
      <c r="J7" s="266">
        <v>40424.334334178719</v>
      </c>
    </row>
    <row r="8" spans="1:10" ht="49.5" customHeight="1">
      <c r="A8" s="310" t="s">
        <v>5</v>
      </c>
      <c r="B8" s="310"/>
      <c r="C8" s="257">
        <v>47558</v>
      </c>
      <c r="D8" s="257">
        <v>55539</v>
      </c>
      <c r="E8" s="257">
        <v>60541</v>
      </c>
      <c r="F8" s="258">
        <v>66497</v>
      </c>
      <c r="G8" s="258">
        <v>73662.118352337202</v>
      </c>
      <c r="H8" s="258">
        <v>82741.382549196103</v>
      </c>
      <c r="I8" s="258">
        <v>92638.159</v>
      </c>
      <c r="J8" s="267">
        <v>38634.646976337019</v>
      </c>
    </row>
    <row r="9" spans="1:10" ht="49.5" customHeight="1">
      <c r="A9" s="310" t="s">
        <v>6</v>
      </c>
      <c r="B9" s="310"/>
      <c r="C9" s="257">
        <v>6457</v>
      </c>
      <c r="D9" s="257">
        <v>6612</v>
      </c>
      <c r="E9" s="257">
        <v>7301</v>
      </c>
      <c r="F9" s="258">
        <v>8276</v>
      </c>
      <c r="G9" s="258">
        <v>9440.4914306627506</v>
      </c>
      <c r="H9" s="258">
        <v>9819.9591571332803</v>
      </c>
      <c r="I9" s="258">
        <v>10545.602000000001</v>
      </c>
      <c r="J9" s="267">
        <v>1789.6873578417001</v>
      </c>
    </row>
    <row r="10" spans="1:10" ht="49.5" customHeight="1">
      <c r="A10" s="306" t="s">
        <v>7</v>
      </c>
      <c r="B10" s="306"/>
      <c r="C10" s="259">
        <v>13.056218343170499</v>
      </c>
      <c r="D10" s="259">
        <v>15.060352488151665</v>
      </c>
      <c r="E10" s="259">
        <v>9.1567311869479227</v>
      </c>
      <c r="F10" s="259">
        <v>10.216385130155359</v>
      </c>
      <c r="G10" s="259">
        <v>11.139863029435688</v>
      </c>
      <c r="H10" s="259">
        <v>11.381991429665533</v>
      </c>
      <c r="I10" s="259">
        <v>11.476084737058471</v>
      </c>
      <c r="J10" s="268">
        <v>-60.822968220866201</v>
      </c>
    </row>
    <row r="11" spans="1:10" ht="49.5" customHeight="1">
      <c r="A11" s="309" t="s">
        <v>8</v>
      </c>
      <c r="B11" s="309"/>
      <c r="C11" s="188">
        <v>152875</v>
      </c>
      <c r="D11" s="188">
        <v>169282</v>
      </c>
      <c r="E11" s="188">
        <v>176937</v>
      </c>
      <c r="F11" s="256">
        <v>189253</v>
      </c>
      <c r="G11" s="256">
        <v>205408.34931361501</v>
      </c>
      <c r="H11" s="256">
        <v>221272.48073400001</v>
      </c>
      <c r="I11" s="256">
        <v>239120.86566456899</v>
      </c>
      <c r="J11" s="266">
        <v>131660.1507882</v>
      </c>
    </row>
    <row r="12" spans="1:10" ht="49.5" customHeight="1">
      <c r="A12" s="306" t="s">
        <v>9</v>
      </c>
      <c r="B12" s="306"/>
      <c r="C12" s="259">
        <v>8.0900497055142804</v>
      </c>
      <c r="D12" s="259">
        <v>10.73229762878168</v>
      </c>
      <c r="E12" s="259">
        <v>4.522040146028516</v>
      </c>
      <c r="F12" s="259">
        <v>6.9606696168692821</v>
      </c>
      <c r="G12" s="259">
        <v>8.5363768677986656</v>
      </c>
      <c r="H12" s="259">
        <v>7.7232164483069994</v>
      </c>
      <c r="I12" s="259">
        <v>8.0662470413685128</v>
      </c>
      <c r="J12" s="268">
        <v>-44.939915459787358</v>
      </c>
    </row>
    <row r="13" spans="1:10" ht="49.5" customHeight="1">
      <c r="A13" s="309" t="s">
        <v>10</v>
      </c>
      <c r="B13" s="309"/>
      <c r="C13" s="188">
        <v>193274</v>
      </c>
      <c r="D13" s="188">
        <v>217452</v>
      </c>
      <c r="E13" s="188">
        <v>235191</v>
      </c>
      <c r="F13" s="256">
        <v>253878</v>
      </c>
      <c r="G13" s="256">
        <v>276147.26299999998</v>
      </c>
      <c r="H13" s="256">
        <v>302414.63652200002</v>
      </c>
      <c r="I13" s="256">
        <v>332378.00327375002</v>
      </c>
      <c r="J13" s="266">
        <v>146990.04357459999</v>
      </c>
    </row>
    <row r="14" spans="1:10" ht="49.5" customHeight="1">
      <c r="A14" s="306" t="s">
        <v>7</v>
      </c>
      <c r="B14" s="306"/>
      <c r="C14" s="259">
        <v>10.7917545629643</v>
      </c>
      <c r="D14" s="259">
        <v>12.509701253143206</v>
      </c>
      <c r="E14" s="259">
        <v>8.1576623806633251</v>
      </c>
      <c r="F14" s="259">
        <v>7.9454570965725679</v>
      </c>
      <c r="G14" s="259">
        <v>8.7716395276471246</v>
      </c>
      <c r="H14" s="259">
        <v>9.5120890341759576</v>
      </c>
      <c r="I14" s="259">
        <v>9.9080411901856564</v>
      </c>
      <c r="J14" s="268">
        <v>-55.776242071730167</v>
      </c>
    </row>
    <row r="15" spans="1:10" ht="49.5" customHeight="1">
      <c r="A15" s="309" t="s">
        <v>11</v>
      </c>
      <c r="B15" s="309"/>
      <c r="C15" s="260">
        <v>2.56</v>
      </c>
      <c r="D15" s="261">
        <v>2.6</v>
      </c>
      <c r="E15" s="261">
        <v>2.2999999999999998</v>
      </c>
      <c r="F15" s="262">
        <v>2.31</v>
      </c>
      <c r="G15" s="262">
        <v>2.35</v>
      </c>
      <c r="H15" s="262">
        <v>2.4448003511864802</v>
      </c>
      <c r="I15" s="262">
        <v>2.52</v>
      </c>
      <c r="J15" s="270">
        <v>1.93</v>
      </c>
    </row>
    <row r="16" spans="1:10" ht="49.5" customHeight="1">
      <c r="A16" s="306" t="s">
        <v>7</v>
      </c>
      <c r="B16" s="306"/>
      <c r="C16" s="259">
        <v>1.1857707509881501</v>
      </c>
      <c r="D16" s="259">
        <v>1.5625</v>
      </c>
      <c r="E16" s="259">
        <v>-11.538461538461547</v>
      </c>
      <c r="F16" s="259">
        <v>0.43478260869565588</v>
      </c>
      <c r="G16" s="259">
        <v>1.731601731601728</v>
      </c>
      <c r="H16" s="259">
        <v>4.0340574972970273</v>
      </c>
      <c r="I16" s="259">
        <v>3.0759014238943791</v>
      </c>
      <c r="J16" s="271">
        <v>-23.412698412698418</v>
      </c>
    </row>
    <row r="17" spans="1:10" ht="49.5" customHeight="1">
      <c r="A17" s="309" t="s">
        <v>12</v>
      </c>
      <c r="B17" s="309"/>
      <c r="C17" s="260">
        <v>279</v>
      </c>
      <c r="D17" s="260">
        <v>286</v>
      </c>
      <c r="E17" s="263">
        <v>288</v>
      </c>
      <c r="F17" s="256">
        <v>294</v>
      </c>
      <c r="G17" s="256">
        <v>300.93645436505102</v>
      </c>
      <c r="H17" s="256">
        <v>306.07225965796198</v>
      </c>
      <c r="I17" s="256">
        <v>310</v>
      </c>
      <c r="J17" s="272">
        <v>275</v>
      </c>
    </row>
    <row r="18" spans="1:10" ht="49.5" customHeight="1">
      <c r="A18" s="306" t="s">
        <v>7</v>
      </c>
      <c r="B18" s="306"/>
      <c r="C18" s="259">
        <v>1.8248175182481801</v>
      </c>
      <c r="D18" s="259">
        <v>2.5089605734766991</v>
      </c>
      <c r="E18" s="259">
        <v>0.69930069930069294</v>
      </c>
      <c r="F18" s="259">
        <v>2.0833333333333286</v>
      </c>
      <c r="G18" s="259">
        <v>2.3593382194051173</v>
      </c>
      <c r="H18" s="259">
        <v>1.7066078962573812</v>
      </c>
      <c r="I18" s="259">
        <v>1.2832722398388228</v>
      </c>
      <c r="J18" s="271">
        <v>-11.290322580645167</v>
      </c>
    </row>
    <row r="19" spans="1:10" ht="22.5" customHeight="1">
      <c r="A19" s="264"/>
      <c r="B19" s="264"/>
      <c r="C19" s="264"/>
      <c r="D19" s="264"/>
      <c r="E19" s="264"/>
      <c r="F19" s="264"/>
      <c r="G19" s="264"/>
      <c r="H19" s="264"/>
      <c r="I19" s="264"/>
      <c r="J19" s="269"/>
    </row>
    <row r="20" spans="1:10" ht="16.5" customHeight="1">
      <c r="A20" s="99"/>
      <c r="B20" s="99"/>
      <c r="C20" s="99"/>
      <c r="D20" s="99"/>
      <c r="E20" s="99"/>
      <c r="F20" s="99"/>
      <c r="G20" s="99"/>
    </row>
    <row r="21" spans="1:10" ht="16.5" customHeight="1"/>
    <row r="22" spans="1:10" ht="16.5" customHeight="1"/>
    <row r="51" ht="15.75" customHeight="1"/>
  </sheetData>
  <sheetProtection password="DD6C" sheet="1" objects="1" scenarios="1"/>
  <mergeCells count="24">
    <mergeCell ref="A1:J1"/>
    <mergeCell ref="A2:J2"/>
    <mergeCell ref="A4:B4"/>
    <mergeCell ref="A5:B5"/>
    <mergeCell ref="A7:B7"/>
    <mergeCell ref="G4:G5"/>
    <mergeCell ref="H4:H5"/>
    <mergeCell ref="I4:I5"/>
    <mergeCell ref="J4:J5"/>
    <mergeCell ref="A18:B18"/>
    <mergeCell ref="C4:C5"/>
    <mergeCell ref="D4:D5"/>
    <mergeCell ref="E4:E5"/>
    <mergeCell ref="F4:F5"/>
    <mergeCell ref="A13:B13"/>
    <mergeCell ref="A14:B14"/>
    <mergeCell ref="A15:B15"/>
    <mergeCell ref="A16:B16"/>
    <mergeCell ref="A17:B17"/>
    <mergeCell ref="A8:B8"/>
    <mergeCell ref="A9:B9"/>
    <mergeCell ref="A10:B10"/>
    <mergeCell ref="A11:B11"/>
    <mergeCell ref="A12:B12"/>
  </mergeCells>
  <pageMargins left="0.50972222222222197" right="0.50972222222222197" top="0.75" bottom="0.75" header="0.30972222222222201" footer="0.30972222222222201"/>
  <pageSetup paperSize="9" scale="95" orientation="portrait" r:id="rId1"/>
  <headerFooter>
    <oddFooter>&amp;C&amp;"Century Gothic"&amp;10  27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view="pageBreakPreview" topLeftCell="C1" zoomScaleSheetLayoutView="100" workbookViewId="0">
      <selection activeCell="C15" sqref="A1:XFD1048576"/>
    </sheetView>
  </sheetViews>
  <sheetFormatPr defaultColWidth="9.140625" defaultRowHeight="13.5"/>
  <cols>
    <col min="1" max="1" width="4.140625" style="211" customWidth="1"/>
    <col min="2" max="2" width="3.85546875" style="211" customWidth="1"/>
    <col min="3" max="3" width="2.7109375" style="211" customWidth="1"/>
    <col min="4" max="4" width="46.5703125" style="211" customWidth="1"/>
    <col min="5" max="5" width="12.7109375" style="211" customWidth="1"/>
    <col min="6" max="8" width="11.140625" style="211" customWidth="1"/>
    <col min="9" max="9" width="1.7109375" style="211" customWidth="1"/>
    <col min="10" max="10" width="12.7109375" style="211" customWidth="1"/>
    <col min="11" max="13" width="11.140625" style="211" customWidth="1"/>
    <col min="14" max="16384" width="9.140625" style="211"/>
  </cols>
  <sheetData>
    <row r="1" spans="1:13" ht="15" customHeight="1">
      <c r="B1" s="212"/>
      <c r="C1" s="341" t="s">
        <v>13</v>
      </c>
      <c r="D1" s="341"/>
      <c r="E1" s="341"/>
      <c r="F1" s="341"/>
      <c r="G1" s="341"/>
      <c r="H1" s="341"/>
      <c r="I1" s="341"/>
      <c r="J1" s="341"/>
      <c r="K1" s="341"/>
      <c r="L1" s="341"/>
      <c r="M1" s="341"/>
    </row>
    <row r="2" spans="1:13" ht="14.25">
      <c r="A2" s="213"/>
      <c r="B2" s="212"/>
      <c r="C2" s="340" t="s">
        <v>14</v>
      </c>
      <c r="D2" s="340"/>
      <c r="E2" s="340"/>
      <c r="F2" s="340"/>
      <c r="G2" s="340"/>
      <c r="H2" s="340"/>
      <c r="I2" s="340"/>
      <c r="J2" s="340"/>
      <c r="K2" s="340"/>
      <c r="L2" s="340"/>
      <c r="M2" s="340"/>
    </row>
    <row r="3" spans="1:13" ht="7.5" customHeight="1">
      <c r="A3" s="213"/>
      <c r="B3" s="212"/>
      <c r="C3" s="72"/>
      <c r="D3" s="73"/>
      <c r="E3" s="67"/>
      <c r="F3" s="67"/>
      <c r="G3" s="67"/>
      <c r="H3" s="67"/>
      <c r="I3" s="67"/>
      <c r="J3" s="67"/>
      <c r="K3" s="67"/>
      <c r="L3" s="67"/>
      <c r="M3" s="67"/>
    </row>
    <row r="4" spans="1:13" ht="15" customHeight="1">
      <c r="A4" s="325">
        <v>28</v>
      </c>
      <c r="B4" s="212"/>
      <c r="C4" s="321" t="s">
        <v>15</v>
      </c>
      <c r="D4" s="321"/>
      <c r="E4" s="342">
        <v>2019</v>
      </c>
      <c r="F4" s="342"/>
      <c r="G4" s="342"/>
      <c r="H4" s="342"/>
      <c r="I4" s="7"/>
      <c r="J4" s="342">
        <v>2020</v>
      </c>
      <c r="K4" s="342"/>
      <c r="L4" s="342"/>
      <c r="M4" s="342"/>
    </row>
    <row r="5" spans="1:13" ht="15" customHeight="1">
      <c r="A5" s="325"/>
      <c r="B5" s="212"/>
      <c r="C5" s="322"/>
      <c r="D5" s="322"/>
      <c r="E5" s="322" t="s">
        <v>16</v>
      </c>
      <c r="F5" s="343" t="s">
        <v>17</v>
      </c>
      <c r="G5" s="343"/>
      <c r="H5" s="343"/>
      <c r="I5" s="61"/>
      <c r="J5" s="344" t="s">
        <v>16</v>
      </c>
      <c r="K5" s="322" t="s">
        <v>17</v>
      </c>
      <c r="L5" s="322"/>
      <c r="M5" s="322"/>
    </row>
    <row r="6" spans="1:13" ht="45" customHeight="1">
      <c r="A6" s="325"/>
      <c r="B6" s="212"/>
      <c r="C6" s="322"/>
      <c r="D6" s="322"/>
      <c r="E6" s="322"/>
      <c r="F6" s="214" t="s">
        <v>18</v>
      </c>
      <c r="G6" s="214" t="s">
        <v>19</v>
      </c>
      <c r="H6" s="214" t="s">
        <v>20</v>
      </c>
      <c r="I6" s="61"/>
      <c r="J6" s="322"/>
      <c r="K6" s="214" t="s">
        <v>18</v>
      </c>
      <c r="L6" s="214" t="s">
        <v>19</v>
      </c>
      <c r="M6" s="214" t="s">
        <v>20</v>
      </c>
    </row>
    <row r="7" spans="1:13" ht="15" customHeight="1">
      <c r="A7" s="325"/>
      <c r="B7" s="212"/>
      <c r="C7" s="323"/>
      <c r="D7" s="323"/>
      <c r="E7" s="175" t="s">
        <v>21</v>
      </c>
      <c r="F7" s="323" t="s">
        <v>22</v>
      </c>
      <c r="G7" s="323"/>
      <c r="H7" s="323"/>
      <c r="I7" s="175"/>
      <c r="J7" s="175" t="s">
        <v>21</v>
      </c>
      <c r="K7" s="323" t="s">
        <v>22</v>
      </c>
      <c r="L7" s="323"/>
      <c r="M7" s="323"/>
    </row>
    <row r="8" spans="1:13" s="210" customFormat="1" ht="7.5" customHeight="1">
      <c r="A8" s="325"/>
      <c r="B8" s="212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</row>
    <row r="9" spans="1:13" ht="18.75" customHeight="1">
      <c r="A9" s="325"/>
      <c r="B9" s="212"/>
      <c r="C9" s="336" t="s">
        <v>23</v>
      </c>
      <c r="D9" s="336"/>
      <c r="E9" s="215">
        <v>100</v>
      </c>
      <c r="F9" s="216">
        <v>239120.86566456858</v>
      </c>
      <c r="G9" s="216">
        <v>191613.1632150349</v>
      </c>
      <c r="H9" s="216">
        <v>47507.702449533695</v>
      </c>
      <c r="I9" s="244"/>
      <c r="J9" s="215">
        <v>100</v>
      </c>
      <c r="K9" s="216">
        <v>131660.1507882</v>
      </c>
      <c r="L9" s="216">
        <v>104206.92151100001</v>
      </c>
      <c r="M9" s="216">
        <v>27453.2292772</v>
      </c>
    </row>
    <row r="10" spans="1:13" ht="18.75" customHeight="1">
      <c r="A10" s="325"/>
      <c r="B10" s="212"/>
      <c r="C10" s="217"/>
      <c r="D10" s="218" t="s">
        <v>24</v>
      </c>
      <c r="E10" s="215">
        <v>64.572017864354891</v>
      </c>
      <c r="F10" s="216">
        <v>154405.16809432529</v>
      </c>
      <c r="G10" s="219">
        <v>121703.267013577</v>
      </c>
      <c r="H10" s="219">
        <v>32701.901080748299</v>
      </c>
      <c r="I10" s="245"/>
      <c r="J10" s="215">
        <v>64.865059425979396</v>
      </c>
      <c r="K10" s="216">
        <v>85401.435049100008</v>
      </c>
      <c r="L10" s="219">
        <v>66994.234926200006</v>
      </c>
      <c r="M10" s="219">
        <v>18407.200122900002</v>
      </c>
    </row>
    <row r="11" spans="1:13" ht="18.75" customHeight="1">
      <c r="A11" s="325"/>
      <c r="B11" s="212"/>
      <c r="C11" s="220"/>
      <c r="D11" s="218" t="s">
        <v>25</v>
      </c>
      <c r="E11" s="215">
        <v>35.427982135645109</v>
      </c>
      <c r="F11" s="216">
        <v>84715.697570243297</v>
      </c>
      <c r="G11" s="219">
        <v>69909.896201457901</v>
      </c>
      <c r="H11" s="219">
        <v>14805.8013687854</v>
      </c>
      <c r="I11" s="246"/>
      <c r="J11" s="215">
        <v>35.134940574020611</v>
      </c>
      <c r="K11" s="216">
        <v>46258.7157391</v>
      </c>
      <c r="L11" s="219">
        <v>37212.686584800002</v>
      </c>
      <c r="M11" s="219">
        <v>9046.0291543000003</v>
      </c>
    </row>
    <row r="12" spans="1:13" ht="4.5" customHeight="1">
      <c r="A12" s="325"/>
      <c r="B12" s="212"/>
      <c r="C12" s="221"/>
      <c r="D12" s="221"/>
      <c r="E12" s="222"/>
      <c r="F12" s="221"/>
      <c r="G12" s="222"/>
      <c r="H12" s="222"/>
      <c r="I12" s="222"/>
      <c r="J12" s="222"/>
      <c r="K12" s="221"/>
      <c r="L12" s="222"/>
      <c r="M12" s="222"/>
    </row>
    <row r="13" spans="1:13" ht="11.25" customHeight="1">
      <c r="A13" s="325"/>
      <c r="B13" s="212"/>
      <c r="D13" s="223"/>
      <c r="E13" s="223"/>
      <c r="F13" s="223"/>
      <c r="G13" s="223"/>
      <c r="H13" s="223"/>
      <c r="I13" s="223"/>
      <c r="J13" s="223"/>
      <c r="K13" s="247"/>
      <c r="L13" s="247"/>
      <c r="M13" s="247"/>
    </row>
    <row r="14" spans="1:13" ht="9" customHeight="1">
      <c r="A14" s="325"/>
      <c r="B14" s="212"/>
      <c r="M14" s="248"/>
    </row>
    <row r="15" spans="1:13" ht="15" customHeight="1">
      <c r="A15" s="325"/>
      <c r="B15" s="224"/>
      <c r="C15" s="337" t="s">
        <v>26</v>
      </c>
      <c r="D15" s="338"/>
      <c r="E15" s="338"/>
      <c r="F15" s="338"/>
      <c r="G15" s="338"/>
      <c r="H15" s="338"/>
      <c r="I15" s="338"/>
      <c r="J15" s="338"/>
      <c r="K15" s="338"/>
      <c r="L15" s="338"/>
      <c r="M15" s="339"/>
    </row>
    <row r="16" spans="1:13" ht="15" customHeight="1">
      <c r="A16" s="325"/>
      <c r="B16" s="212"/>
      <c r="C16" s="340" t="s">
        <v>27</v>
      </c>
      <c r="D16" s="340"/>
      <c r="E16" s="340"/>
      <c r="F16" s="340"/>
      <c r="G16" s="340"/>
      <c r="H16" s="340"/>
      <c r="I16" s="340"/>
      <c r="J16" s="340"/>
      <c r="K16" s="340"/>
      <c r="L16" s="340"/>
      <c r="M16" s="340"/>
    </row>
    <row r="17" spans="1:13" ht="7.5" customHeight="1">
      <c r="A17" s="325"/>
      <c r="B17" s="212"/>
      <c r="C17" s="72"/>
      <c r="D17" s="73"/>
      <c r="E17" s="73"/>
      <c r="F17" s="73"/>
      <c r="G17" s="73"/>
      <c r="H17" s="73"/>
      <c r="I17" s="73"/>
      <c r="J17" s="73"/>
      <c r="K17" s="73"/>
      <c r="L17" s="73"/>
      <c r="M17" s="73"/>
    </row>
    <row r="18" spans="1:13" ht="15" customHeight="1">
      <c r="A18" s="325"/>
      <c r="B18" s="212"/>
      <c r="C18" s="313"/>
      <c r="D18" s="313"/>
      <c r="E18" s="328">
        <v>2019</v>
      </c>
      <c r="F18" s="328"/>
      <c r="G18" s="328"/>
      <c r="H18" s="328"/>
      <c r="I18" s="41"/>
      <c r="J18" s="328">
        <v>2020</v>
      </c>
      <c r="K18" s="328"/>
      <c r="L18" s="328"/>
      <c r="M18" s="328"/>
    </row>
    <row r="19" spans="1:13" ht="15" customHeight="1">
      <c r="A19" s="325"/>
      <c r="B19" s="212"/>
      <c r="C19" s="319"/>
      <c r="D19" s="319"/>
      <c r="E19" s="328" t="s">
        <v>28</v>
      </c>
      <c r="F19" s="313" t="s">
        <v>17</v>
      </c>
      <c r="G19" s="313"/>
      <c r="H19" s="313"/>
      <c r="I19" s="225"/>
      <c r="J19" s="328" t="s">
        <v>28</v>
      </c>
      <c r="K19" s="313" t="s">
        <v>17</v>
      </c>
      <c r="L19" s="313"/>
      <c r="M19" s="313"/>
    </row>
    <row r="20" spans="1:13" ht="57.75" customHeight="1">
      <c r="A20" s="325"/>
      <c r="B20" s="212"/>
      <c r="C20" s="320"/>
      <c r="D20" s="320"/>
      <c r="E20" s="329"/>
      <c r="F20" s="199" t="s">
        <v>18</v>
      </c>
      <c r="G20" s="199" t="s">
        <v>19</v>
      </c>
      <c r="H20" s="199" t="s">
        <v>20</v>
      </c>
      <c r="I20" s="74"/>
      <c r="J20" s="329"/>
      <c r="K20" s="249" t="s">
        <v>18</v>
      </c>
      <c r="L20" s="249" t="s">
        <v>29</v>
      </c>
      <c r="M20" s="249" t="s">
        <v>20</v>
      </c>
    </row>
    <row r="21" spans="1:13" ht="15" customHeight="1">
      <c r="A21" s="325"/>
      <c r="B21" s="212"/>
      <c r="C21" s="228"/>
      <c r="D21" s="229"/>
      <c r="E21" s="226" t="s">
        <v>21</v>
      </c>
      <c r="F21" s="319" t="s">
        <v>22</v>
      </c>
      <c r="G21" s="319"/>
      <c r="H21" s="319"/>
      <c r="I21" s="226"/>
      <c r="J21" s="226" t="s">
        <v>21</v>
      </c>
      <c r="K21" s="319" t="s">
        <v>22</v>
      </c>
      <c r="L21" s="319"/>
      <c r="M21" s="319"/>
    </row>
    <row r="22" spans="1:13" ht="4.5" customHeight="1">
      <c r="A22" s="325"/>
      <c r="B22" s="212"/>
      <c r="C22" s="228"/>
      <c r="D22" s="229"/>
      <c r="E22" s="225"/>
      <c r="F22" s="225"/>
      <c r="G22" s="225"/>
      <c r="H22" s="225"/>
      <c r="I22" s="225"/>
      <c r="J22" s="225"/>
      <c r="K22" s="225"/>
      <c r="L22" s="225"/>
      <c r="M22" s="225"/>
    </row>
    <row r="23" spans="1:13" ht="18.75" customHeight="1">
      <c r="A23" s="325"/>
      <c r="B23" s="212"/>
      <c r="C23" s="324" t="s">
        <v>30</v>
      </c>
      <c r="D23" s="324"/>
      <c r="E23" s="230">
        <v>100</v>
      </c>
      <c r="F23" s="187">
        <v>332378.00327375013</v>
      </c>
      <c r="G23" s="187">
        <v>266610.69449029292</v>
      </c>
      <c r="H23" s="187">
        <v>65767.308783457192</v>
      </c>
      <c r="I23" s="250"/>
      <c r="J23" s="230">
        <v>99.999999999999986</v>
      </c>
      <c r="K23" s="187">
        <v>146990.04357460001</v>
      </c>
      <c r="L23" s="187">
        <v>116683.39879770001</v>
      </c>
      <c r="M23" s="187">
        <v>30306.644776900001</v>
      </c>
    </row>
    <row r="24" spans="1:13" ht="18.75" customHeight="1">
      <c r="A24" s="325"/>
      <c r="B24" s="212"/>
      <c r="C24" s="217"/>
      <c r="D24" s="218" t="s">
        <v>31</v>
      </c>
      <c r="E24" s="230">
        <v>65.799999999999983</v>
      </c>
      <c r="F24" s="187">
        <v>218704.72615412751</v>
      </c>
      <c r="G24" s="192">
        <v>172458.337021671</v>
      </c>
      <c r="H24" s="192">
        <v>46246.389132456497</v>
      </c>
      <c r="I24" s="232"/>
      <c r="J24" s="230">
        <v>67.149935032100416</v>
      </c>
      <c r="K24" s="187">
        <v>98703.718764000005</v>
      </c>
      <c r="L24" s="192">
        <v>77834.911701800011</v>
      </c>
      <c r="M24" s="192">
        <v>20868.807062199998</v>
      </c>
    </row>
    <row r="25" spans="1:13" ht="18.75" customHeight="1">
      <c r="A25" s="325"/>
      <c r="B25" s="212"/>
      <c r="C25" s="220"/>
      <c r="D25" s="218" t="s">
        <v>32</v>
      </c>
      <c r="E25" s="230">
        <v>34.200000000000017</v>
      </c>
      <c r="F25" s="187">
        <v>113673.27711962261</v>
      </c>
      <c r="G25" s="192">
        <v>94152.357468621907</v>
      </c>
      <c r="H25" s="192">
        <v>19520.919651000699</v>
      </c>
      <c r="I25" s="232"/>
      <c r="J25" s="230">
        <v>32.85006496789957</v>
      </c>
      <c r="K25" s="187">
        <v>48286.324810599996</v>
      </c>
      <c r="L25" s="192">
        <v>38848.487095899996</v>
      </c>
      <c r="M25" s="192">
        <v>9437.837714700001</v>
      </c>
    </row>
    <row r="26" spans="1:13" ht="15" customHeight="1">
      <c r="A26" s="325"/>
      <c r="B26" s="212"/>
      <c r="C26" s="220"/>
      <c r="D26" s="220"/>
      <c r="E26" s="227" t="s">
        <v>21</v>
      </c>
      <c r="F26" s="332" t="s">
        <v>33</v>
      </c>
      <c r="G26" s="333"/>
      <c r="H26" s="333"/>
      <c r="I26" s="231"/>
      <c r="J26" s="227"/>
      <c r="K26" s="320" t="s">
        <v>33</v>
      </c>
      <c r="L26" s="334"/>
      <c r="M26" s="334"/>
    </row>
    <row r="27" spans="1:13" ht="4.5" customHeight="1">
      <c r="A27" s="325"/>
      <c r="B27" s="212"/>
      <c r="C27" s="228"/>
      <c r="D27" s="229"/>
      <c r="E27" s="226"/>
      <c r="F27" s="226"/>
      <c r="G27" s="226"/>
      <c r="H27" s="226"/>
      <c r="I27" s="226"/>
      <c r="J27" s="226"/>
      <c r="K27" s="226"/>
      <c r="L27" s="226"/>
      <c r="M27" s="226"/>
    </row>
    <row r="28" spans="1:13" ht="18.75" customHeight="1">
      <c r="A28" s="325"/>
      <c r="B28" s="212"/>
      <c r="C28" s="324" t="s">
        <v>30</v>
      </c>
      <c r="D28" s="324"/>
      <c r="E28" s="230">
        <v>99.999999999999986</v>
      </c>
      <c r="F28" s="187">
        <v>103183.75971430633</v>
      </c>
      <c r="G28" s="187">
        <v>87454.700095677807</v>
      </c>
      <c r="H28" s="187">
        <v>15729.059618628529</v>
      </c>
      <c r="I28" s="250"/>
      <c r="J28" s="230">
        <v>99.999999999999986</v>
      </c>
      <c r="K28" s="187">
        <v>40424.334334178769</v>
      </c>
      <c r="L28" s="187">
        <v>31985.642834764603</v>
      </c>
      <c r="M28" s="187">
        <v>8438.6914994141607</v>
      </c>
    </row>
    <row r="29" spans="1:13" ht="18.75" customHeight="1">
      <c r="A29" s="325"/>
      <c r="B29" s="212"/>
      <c r="C29" s="217"/>
      <c r="D29" s="218" t="s">
        <v>34</v>
      </c>
      <c r="E29" s="230">
        <v>34.230981088193872</v>
      </c>
      <c r="F29" s="187">
        <v>35320.81327389161</v>
      </c>
      <c r="G29" s="232">
        <v>29132.606788305799</v>
      </c>
      <c r="H29" s="232">
        <v>6188.2064855858098</v>
      </c>
      <c r="I29" s="232"/>
      <c r="J29" s="230">
        <v>42.716672601141013</v>
      </c>
      <c r="K29" s="187">
        <v>17267.930548721783</v>
      </c>
      <c r="L29" s="192">
        <v>14449.550803301201</v>
      </c>
      <c r="M29" s="192">
        <v>2818.3797454205801</v>
      </c>
    </row>
    <row r="30" spans="1:13" ht="18.75" customHeight="1">
      <c r="A30" s="325"/>
      <c r="B30" s="212"/>
      <c r="C30" s="220"/>
      <c r="D30" s="218" t="s">
        <v>35</v>
      </c>
      <c r="E30" s="230">
        <v>65.769018911806114</v>
      </c>
      <c r="F30" s="187">
        <v>67862.946440414715</v>
      </c>
      <c r="G30" s="232">
        <v>58322.093307372001</v>
      </c>
      <c r="H30" s="232">
        <v>9540.8531330427195</v>
      </c>
      <c r="I30" s="232"/>
      <c r="J30" s="230">
        <v>57.283327398858972</v>
      </c>
      <c r="K30" s="187">
        <v>23156.403785456983</v>
      </c>
      <c r="L30" s="192">
        <v>17536.092031463402</v>
      </c>
      <c r="M30" s="192">
        <v>5620.3117539935802</v>
      </c>
    </row>
    <row r="31" spans="1:13" ht="15" customHeight="1">
      <c r="A31" s="325"/>
      <c r="B31" s="212"/>
      <c r="C31" s="220"/>
      <c r="D31" s="220"/>
      <c r="E31" s="233"/>
      <c r="F31" s="335" t="s">
        <v>36</v>
      </c>
      <c r="G31" s="335"/>
      <c r="H31" s="335"/>
      <c r="I31" s="234"/>
      <c r="J31" s="233"/>
      <c r="K31" s="335" t="s">
        <v>36</v>
      </c>
      <c r="L31" s="335"/>
      <c r="M31" s="335"/>
    </row>
    <row r="32" spans="1:13" ht="4.5" customHeight="1">
      <c r="A32" s="325"/>
      <c r="B32" s="212"/>
      <c r="C32" s="220"/>
      <c r="D32" s="220"/>
      <c r="E32" s="235"/>
      <c r="F32" s="177"/>
      <c r="G32" s="177"/>
      <c r="H32" s="177"/>
      <c r="I32" s="177"/>
      <c r="J32" s="235"/>
      <c r="K32" s="177"/>
      <c r="L32" s="177"/>
      <c r="M32" s="177"/>
    </row>
    <row r="33" spans="1:13" ht="18.75" customHeight="1">
      <c r="A33" s="325"/>
      <c r="B33" s="212"/>
      <c r="C33" s="324" t="s">
        <v>23</v>
      </c>
      <c r="D33" s="324"/>
      <c r="E33" s="236"/>
      <c r="F33" s="216">
        <v>310.4410000000002</v>
      </c>
      <c r="G33" s="216">
        <v>328.02397616822515</v>
      </c>
      <c r="H33" s="216">
        <v>239.1622815283107</v>
      </c>
      <c r="I33" s="251"/>
      <c r="J33" s="251"/>
      <c r="K33" s="216">
        <v>275.01409858187242</v>
      </c>
      <c r="L33" s="216">
        <v>274.12333857552221</v>
      </c>
      <c r="M33" s="216">
        <v>278.44360738494578</v>
      </c>
    </row>
    <row r="34" spans="1:13" ht="30" customHeight="1">
      <c r="A34" s="325"/>
      <c r="B34" s="212"/>
      <c r="C34" s="217"/>
      <c r="D34" s="218" t="s">
        <v>37</v>
      </c>
      <c r="E34" s="237"/>
      <c r="F34" s="216">
        <v>161.50000000000009</v>
      </c>
      <c r="G34" s="238">
        <v>168.92547667698437</v>
      </c>
      <c r="H34" s="238">
        <v>133.8095060321763</v>
      </c>
      <c r="I34" s="53"/>
      <c r="J34" s="49"/>
      <c r="K34" s="216">
        <v>174.94711207395642</v>
      </c>
      <c r="L34" s="238">
        <v>185.6435690279975</v>
      </c>
      <c r="M34" s="238">
        <v>135.05226901663949</v>
      </c>
    </row>
    <row r="35" spans="1:13" ht="30" customHeight="1">
      <c r="A35" s="325"/>
      <c r="B35" s="224"/>
      <c r="C35" s="326"/>
      <c r="D35" s="176" t="s">
        <v>38</v>
      </c>
      <c r="E35" s="330"/>
      <c r="F35" s="187">
        <v>597.00000000000011</v>
      </c>
      <c r="G35" s="232">
        <v>619.44379169484921</v>
      </c>
      <c r="H35" s="232">
        <v>488.75018716413945</v>
      </c>
      <c r="I35" s="252"/>
      <c r="J35" s="317"/>
      <c r="K35" s="187">
        <v>479.56442898246007</v>
      </c>
      <c r="L35" s="232">
        <v>451.39703865878818</v>
      </c>
      <c r="M35" s="232">
        <v>595.50841240251521</v>
      </c>
    </row>
    <row r="36" spans="1:13" ht="6.75" customHeight="1">
      <c r="A36" s="213"/>
      <c r="B36" s="239"/>
      <c r="C36" s="327"/>
      <c r="D36" s="240" t="s">
        <v>39</v>
      </c>
      <c r="E36" s="331"/>
      <c r="F36" s="241"/>
      <c r="G36" s="242"/>
      <c r="H36" s="242"/>
      <c r="I36" s="242"/>
      <c r="J36" s="318"/>
      <c r="K36" s="253"/>
      <c r="L36" s="253"/>
      <c r="M36" s="253"/>
    </row>
    <row r="37" spans="1:13" ht="15" customHeight="1">
      <c r="A37" s="243"/>
      <c r="B37" s="223"/>
      <c r="C37" s="223"/>
      <c r="D37" s="223"/>
      <c r="E37" s="223"/>
      <c r="F37" s="223"/>
      <c r="G37" s="223"/>
      <c r="H37" s="223"/>
      <c r="I37" s="223"/>
      <c r="J37" s="223"/>
      <c r="K37" s="223"/>
      <c r="L37" s="223"/>
      <c r="M37" s="223"/>
    </row>
    <row r="38" spans="1:13">
      <c r="C38" s="223"/>
      <c r="D38" s="223"/>
      <c r="E38" s="223"/>
      <c r="F38" s="223"/>
      <c r="G38" s="223"/>
      <c r="H38" s="223"/>
      <c r="I38" s="223"/>
      <c r="J38" s="223"/>
      <c r="K38" s="223"/>
      <c r="L38" s="223"/>
      <c r="M38" s="223"/>
    </row>
  </sheetData>
  <sheetProtection password="DD6C" sheet="1" objects="1" scenarios="1"/>
  <mergeCells count="34">
    <mergeCell ref="K7:M7"/>
    <mergeCell ref="C9:D9"/>
    <mergeCell ref="C15:M15"/>
    <mergeCell ref="C16:M16"/>
    <mergeCell ref="C1:M1"/>
    <mergeCell ref="C2:M2"/>
    <mergeCell ref="E4:H4"/>
    <mergeCell ref="J4:M4"/>
    <mergeCell ref="F5:H5"/>
    <mergeCell ref="K5:M5"/>
    <mergeCell ref="J5:J6"/>
    <mergeCell ref="K26:M26"/>
    <mergeCell ref="C28:D28"/>
    <mergeCell ref="F31:H31"/>
    <mergeCell ref="K31:M31"/>
    <mergeCell ref="E18:H18"/>
    <mergeCell ref="J18:M18"/>
    <mergeCell ref="F19:H19"/>
    <mergeCell ref="K19:M19"/>
    <mergeCell ref="F21:H21"/>
    <mergeCell ref="K21:M21"/>
    <mergeCell ref="J19:J20"/>
    <mergeCell ref="J35:J36"/>
    <mergeCell ref="C18:D20"/>
    <mergeCell ref="C4:D7"/>
    <mergeCell ref="C33:D33"/>
    <mergeCell ref="A4:A35"/>
    <mergeCell ref="C35:C36"/>
    <mergeCell ref="E5:E6"/>
    <mergeCell ref="E19:E20"/>
    <mergeCell ref="E35:E36"/>
    <mergeCell ref="C23:D23"/>
    <mergeCell ref="F26:H26"/>
    <mergeCell ref="F7:H7"/>
  </mergeCells>
  <pageMargins left="0.389583333333333" right="0.58958333333333302" top="0.50972222222222197" bottom="0.50972222222222197" header="0.30972222222222201" footer="0.30972222222222201"/>
  <pageSetup paperSize="9" scale="8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view="pageBreakPreview" zoomScaleSheetLayoutView="100" workbookViewId="0">
      <selection activeCell="C15" sqref="A1:XFD1048576"/>
    </sheetView>
  </sheetViews>
  <sheetFormatPr defaultColWidth="9.140625" defaultRowHeight="16.5"/>
  <cols>
    <col min="1" max="1" width="2.7109375" style="1" customWidth="1"/>
    <col min="2" max="2" width="22.7109375" style="1" customWidth="1"/>
    <col min="3" max="5" width="11.7109375" style="1" customWidth="1"/>
    <col min="6" max="6" width="1.7109375" style="1" customWidth="1"/>
    <col min="7" max="9" width="11.7109375" style="1" customWidth="1"/>
    <col min="10" max="16384" width="9.140625" style="1"/>
  </cols>
  <sheetData>
    <row r="1" spans="1:9" ht="30" customHeight="1">
      <c r="A1" s="349" t="s">
        <v>40</v>
      </c>
      <c r="B1" s="349"/>
      <c r="C1" s="349"/>
      <c r="D1" s="349"/>
      <c r="E1" s="349"/>
      <c r="F1" s="349"/>
      <c r="G1" s="349"/>
      <c r="H1" s="349"/>
      <c r="I1" s="349"/>
    </row>
    <row r="2" spans="1:9" ht="15" customHeight="1">
      <c r="A2" s="350" t="s">
        <v>41</v>
      </c>
      <c r="B2" s="350"/>
      <c r="C2" s="350"/>
      <c r="D2" s="350"/>
      <c r="E2" s="350"/>
      <c r="F2" s="350"/>
      <c r="G2" s="350"/>
      <c r="H2" s="350"/>
      <c r="I2" s="350"/>
    </row>
    <row r="3" spans="1:9" ht="20.25" customHeight="1">
      <c r="A3" s="178"/>
      <c r="B3" s="179"/>
      <c r="C3" s="179"/>
      <c r="D3" s="179"/>
      <c r="E3" s="179"/>
      <c r="F3" s="179"/>
      <c r="G3" s="179"/>
      <c r="H3" s="179"/>
      <c r="I3" s="179"/>
    </row>
    <row r="4" spans="1:9" ht="20.25" customHeight="1">
      <c r="A4" s="328" t="s">
        <v>42</v>
      </c>
      <c r="B4" s="328"/>
      <c r="C4" s="351">
        <v>2019</v>
      </c>
      <c r="D4" s="351"/>
      <c r="E4" s="351"/>
      <c r="F4" s="180"/>
      <c r="G4" s="351">
        <v>2020</v>
      </c>
      <c r="H4" s="351"/>
      <c r="I4" s="351"/>
    </row>
    <row r="5" spans="1:9" ht="20.25" customHeight="1">
      <c r="A5" s="322"/>
      <c r="B5" s="322"/>
      <c r="C5" s="322" t="s">
        <v>17</v>
      </c>
      <c r="D5" s="322"/>
      <c r="E5" s="322"/>
      <c r="F5" s="6"/>
      <c r="G5" s="322" t="s">
        <v>17</v>
      </c>
      <c r="H5" s="322"/>
      <c r="I5" s="322"/>
    </row>
    <row r="6" spans="1:9" ht="36" customHeight="1">
      <c r="A6" s="322"/>
      <c r="B6" s="322"/>
      <c r="C6" s="181" t="s">
        <v>43</v>
      </c>
      <c r="D6" s="181" t="s">
        <v>44</v>
      </c>
      <c r="E6" s="181" t="s">
        <v>45</v>
      </c>
      <c r="F6" s="182"/>
      <c r="G6" s="181" t="s">
        <v>43</v>
      </c>
      <c r="H6" s="181" t="s">
        <v>44</v>
      </c>
      <c r="I6" s="181" t="s">
        <v>45</v>
      </c>
    </row>
    <row r="7" spans="1:9" ht="20.25" customHeight="1">
      <c r="A7" s="322"/>
      <c r="B7" s="322"/>
      <c r="C7" s="61"/>
      <c r="D7" s="61" t="s">
        <v>22</v>
      </c>
      <c r="E7" s="61"/>
      <c r="F7" s="61"/>
      <c r="G7" s="322" t="s">
        <v>22</v>
      </c>
      <c r="H7" s="322"/>
      <c r="I7" s="322"/>
    </row>
    <row r="8" spans="1:9" ht="15" customHeight="1">
      <c r="A8" s="183"/>
      <c r="B8" s="184"/>
      <c r="C8" s="184"/>
      <c r="D8" s="185"/>
      <c r="E8" s="184"/>
      <c r="F8" s="184"/>
      <c r="G8" s="184"/>
      <c r="H8" s="184"/>
      <c r="I8" s="184"/>
    </row>
    <row r="9" spans="1:9" ht="27" customHeight="1">
      <c r="A9" s="345" t="s">
        <v>46</v>
      </c>
      <c r="B9" s="345"/>
      <c r="C9" s="187">
        <v>332378.00327375042</v>
      </c>
      <c r="D9" s="188">
        <v>266610.69449029339</v>
      </c>
      <c r="E9" s="188">
        <v>65767.308783457062</v>
      </c>
      <c r="F9" s="189"/>
      <c r="G9" s="187">
        <v>146990.04357460013</v>
      </c>
      <c r="H9" s="188">
        <v>116683.3987977002</v>
      </c>
      <c r="I9" s="188">
        <v>30306.644776899928</v>
      </c>
    </row>
    <row r="10" spans="1:9" ht="15" customHeight="1">
      <c r="A10" s="131"/>
      <c r="B10" s="131"/>
      <c r="C10" s="190"/>
      <c r="D10" s="83"/>
      <c r="E10" s="83"/>
      <c r="F10" s="191"/>
      <c r="G10" s="190"/>
      <c r="H10" s="83"/>
      <c r="I10" s="83"/>
    </row>
    <row r="11" spans="1:9" ht="27" customHeight="1">
      <c r="A11" s="345" t="s">
        <v>47</v>
      </c>
      <c r="B11" s="345"/>
      <c r="C11" s="187">
        <v>58851.895615538859</v>
      </c>
      <c r="D11" s="187">
        <v>47216.381093801101</v>
      </c>
      <c r="E11" s="187">
        <v>11635.514521737759</v>
      </c>
      <c r="F11" s="189"/>
      <c r="G11" s="187">
        <v>18787.87883709999</v>
      </c>
      <c r="H11" s="187">
        <v>14666.376105299991</v>
      </c>
      <c r="I11" s="187">
        <v>4121.5027318000002</v>
      </c>
    </row>
    <row r="12" spans="1:9" ht="37.5" customHeight="1">
      <c r="A12" s="131"/>
      <c r="B12" s="186" t="s">
        <v>48</v>
      </c>
      <c r="C12" s="187">
        <v>36450.407062052611</v>
      </c>
      <c r="D12" s="192">
        <v>28755.322361826398</v>
      </c>
      <c r="E12" s="192">
        <v>7695.0847002262099</v>
      </c>
      <c r="F12" s="191"/>
      <c r="G12" s="187">
        <v>12524.98403799999</v>
      </c>
      <c r="H12" s="192">
        <v>9426.5786035999899</v>
      </c>
      <c r="I12" s="192">
        <v>3098.4054344000001</v>
      </c>
    </row>
    <row r="13" spans="1:9" ht="37.5" customHeight="1">
      <c r="A13" s="191"/>
      <c r="B13" s="186" t="s">
        <v>49</v>
      </c>
      <c r="C13" s="187">
        <v>22401.488553486248</v>
      </c>
      <c r="D13" s="192">
        <v>18461.058731974699</v>
      </c>
      <c r="E13" s="192">
        <v>3940.42982151155</v>
      </c>
      <c r="F13" s="191"/>
      <c r="G13" s="187">
        <v>6262.8947990999995</v>
      </c>
      <c r="H13" s="192">
        <v>5239.7975016999999</v>
      </c>
      <c r="I13" s="192">
        <v>1023.0972974</v>
      </c>
    </row>
    <row r="14" spans="1:9" ht="15" customHeight="1">
      <c r="A14" s="191"/>
      <c r="B14" s="191"/>
      <c r="C14" s="190"/>
      <c r="D14" s="83"/>
      <c r="E14" s="83"/>
      <c r="F14" s="191"/>
      <c r="G14" s="190"/>
      <c r="H14" s="83"/>
      <c r="I14" s="83"/>
    </row>
    <row r="15" spans="1:9" ht="27" customHeight="1">
      <c r="A15" s="345" t="s">
        <v>50</v>
      </c>
      <c r="B15" s="345"/>
      <c r="C15" s="187">
        <v>273526.10765821161</v>
      </c>
      <c r="D15" s="187">
        <v>219394.3133964923</v>
      </c>
      <c r="E15" s="187">
        <v>54131.794261719304</v>
      </c>
      <c r="F15" s="189"/>
      <c r="G15" s="187">
        <v>128202.16473750015</v>
      </c>
      <c r="H15" s="187">
        <v>102017.02269240021</v>
      </c>
      <c r="I15" s="187">
        <v>26185.142045099929</v>
      </c>
    </row>
    <row r="16" spans="1:9" ht="37.5" customHeight="1">
      <c r="A16" s="131"/>
      <c r="B16" s="186" t="s">
        <v>51</v>
      </c>
      <c r="C16" s="187">
        <v>182254.31909207531</v>
      </c>
      <c r="D16" s="192">
        <v>143703.01465984501</v>
      </c>
      <c r="E16" s="192">
        <v>38551.304432230303</v>
      </c>
      <c r="F16" s="191"/>
      <c r="G16" s="187">
        <v>86178.734726000213</v>
      </c>
      <c r="H16" s="192">
        <v>68408.33309820031</v>
      </c>
      <c r="I16" s="192">
        <v>17770.4016277999</v>
      </c>
    </row>
    <row r="17" spans="1:9" ht="37.5" customHeight="1">
      <c r="A17" s="191"/>
      <c r="B17" s="186" t="s">
        <v>52</v>
      </c>
      <c r="C17" s="187">
        <v>91271.788566136296</v>
      </c>
      <c r="D17" s="192">
        <v>75691.298736647295</v>
      </c>
      <c r="E17" s="192">
        <v>15580.489829489001</v>
      </c>
      <c r="F17" s="191"/>
      <c r="G17" s="187">
        <v>42023.430011499935</v>
      </c>
      <c r="H17" s="192">
        <v>33608.689594199903</v>
      </c>
      <c r="I17" s="192">
        <v>8414.7404173000305</v>
      </c>
    </row>
    <row r="18" spans="1:9" ht="15" customHeight="1">
      <c r="A18" s="193"/>
      <c r="B18" s="31"/>
      <c r="C18" s="194"/>
      <c r="D18" s="195"/>
      <c r="E18" s="194"/>
      <c r="F18" s="194"/>
      <c r="G18" s="194"/>
      <c r="H18" s="194"/>
      <c r="I18" s="194"/>
    </row>
    <row r="19" spans="1:9" ht="15" customHeight="1">
      <c r="A19" s="128"/>
      <c r="B19" s="128"/>
      <c r="C19" s="128"/>
      <c r="D19" s="36"/>
      <c r="E19" s="128"/>
      <c r="F19" s="128"/>
      <c r="G19" s="128"/>
      <c r="H19" s="128"/>
      <c r="I19" s="128"/>
    </row>
    <row r="20" spans="1:9" ht="15" customHeight="1">
      <c r="A20" s="128"/>
      <c r="B20" s="128"/>
      <c r="C20" s="128"/>
      <c r="D20" s="36"/>
      <c r="E20" s="128"/>
      <c r="F20" s="128"/>
      <c r="G20" s="128"/>
      <c r="H20" s="128"/>
      <c r="I20" s="128"/>
    </row>
    <row r="21" spans="1:9" ht="15" customHeight="1">
      <c r="A21" s="349" t="s">
        <v>53</v>
      </c>
      <c r="B21" s="349"/>
      <c r="C21" s="349"/>
      <c r="D21" s="349"/>
      <c r="E21" s="349"/>
      <c r="F21" s="349"/>
      <c r="G21" s="349"/>
      <c r="H21" s="349"/>
      <c r="I21" s="349"/>
    </row>
    <row r="22" spans="1:9" ht="15" customHeight="1">
      <c r="A22" s="348" t="s">
        <v>54</v>
      </c>
      <c r="B22" s="348"/>
      <c r="C22" s="348"/>
      <c r="D22" s="348"/>
      <c r="E22" s="348"/>
      <c r="F22" s="348"/>
      <c r="G22" s="348"/>
      <c r="H22" s="348"/>
      <c r="I22" s="348"/>
    </row>
    <row r="23" spans="1:9" ht="20.25" customHeight="1">
      <c r="A23" s="196"/>
      <c r="B23" s="197"/>
      <c r="C23" s="197"/>
      <c r="D23" s="197"/>
      <c r="E23" s="197"/>
      <c r="F23" s="197"/>
      <c r="G23" s="197"/>
      <c r="H23" s="197"/>
      <c r="I23" s="197"/>
    </row>
    <row r="24" spans="1:9" ht="20.25" customHeight="1">
      <c r="A24" s="346"/>
      <c r="B24" s="346"/>
      <c r="C24" s="342">
        <v>2019</v>
      </c>
      <c r="D24" s="342"/>
      <c r="E24" s="342"/>
      <c r="F24" s="198"/>
      <c r="G24" s="342">
        <v>2020</v>
      </c>
      <c r="H24" s="342"/>
      <c r="I24" s="342"/>
    </row>
    <row r="25" spans="1:9" ht="20.25" customHeight="1">
      <c r="A25" s="346"/>
      <c r="B25" s="346"/>
      <c r="C25" s="322" t="s">
        <v>17</v>
      </c>
      <c r="D25" s="322"/>
      <c r="E25" s="322"/>
      <c r="F25" s="6"/>
      <c r="G25" s="322" t="s">
        <v>17</v>
      </c>
      <c r="H25" s="322"/>
      <c r="I25" s="322"/>
    </row>
    <row r="26" spans="1:9" ht="36" customHeight="1">
      <c r="A26" s="347"/>
      <c r="B26" s="347"/>
      <c r="C26" s="199" t="s">
        <v>43</v>
      </c>
      <c r="D26" s="199" t="s">
        <v>44</v>
      </c>
      <c r="E26" s="199" t="s">
        <v>45</v>
      </c>
      <c r="F26" s="200"/>
      <c r="G26" s="199" t="s">
        <v>43</v>
      </c>
      <c r="H26" s="199" t="s">
        <v>44</v>
      </c>
      <c r="I26" s="199" t="s">
        <v>45</v>
      </c>
    </row>
    <row r="27" spans="1:9" ht="15" customHeight="1">
      <c r="A27" s="125"/>
      <c r="B27" s="126"/>
      <c r="C27" s="126"/>
      <c r="D27" s="131"/>
      <c r="E27" s="126"/>
      <c r="F27" s="126"/>
      <c r="G27" s="126"/>
      <c r="H27" s="126"/>
      <c r="I27" s="126"/>
    </row>
    <row r="28" spans="1:9" ht="56.25" customHeight="1">
      <c r="A28" s="345" t="s">
        <v>55</v>
      </c>
      <c r="B28" s="345"/>
      <c r="C28" s="201">
        <v>2.519999999999996</v>
      </c>
      <c r="D28" s="201">
        <v>2.5239857929216787</v>
      </c>
      <c r="E28" s="201">
        <v>2.5007759159574725</v>
      </c>
      <c r="F28" s="189"/>
      <c r="G28" s="201">
        <v>1.9251288502183468</v>
      </c>
      <c r="H28" s="201">
        <v>1.9684613320211044</v>
      </c>
      <c r="I28" s="201">
        <v>1.7467615789178705</v>
      </c>
    </row>
    <row r="29" spans="1:9" ht="56.25" customHeight="1">
      <c r="A29" s="189"/>
      <c r="B29" s="186" t="s">
        <v>56</v>
      </c>
      <c r="C29" s="188">
        <v>113673.27711962261</v>
      </c>
      <c r="D29" s="192">
        <v>94152.357468621907</v>
      </c>
      <c r="E29" s="192">
        <v>19520.919651000699</v>
      </c>
      <c r="F29" s="191"/>
      <c r="G29" s="188">
        <v>48286.324810599996</v>
      </c>
      <c r="H29" s="192">
        <v>38848.487095899996</v>
      </c>
      <c r="I29" s="192">
        <v>9437.837714700001</v>
      </c>
    </row>
    <row r="30" spans="1:9" ht="45" customHeight="1">
      <c r="A30" s="202"/>
      <c r="B30" s="203" t="s">
        <v>57</v>
      </c>
      <c r="C30" s="204">
        <v>286456.65834144852</v>
      </c>
      <c r="D30" s="205">
        <v>237639.21262088499</v>
      </c>
      <c r="E30" s="205">
        <v>48817.445720563497</v>
      </c>
      <c r="F30" s="202"/>
      <c r="G30" s="204">
        <v>92957.396963899999</v>
      </c>
      <c r="H30" s="205">
        <v>76471.744655799994</v>
      </c>
      <c r="I30" s="205">
        <v>16485.652308100001</v>
      </c>
    </row>
    <row r="31" spans="1:9" ht="15" customHeight="1">
      <c r="A31" s="206"/>
      <c r="B31" s="206"/>
      <c r="C31" s="206"/>
      <c r="D31" s="206"/>
      <c r="E31" s="206"/>
      <c r="F31" s="206"/>
      <c r="G31" s="206"/>
      <c r="H31" s="206"/>
      <c r="I31" s="206"/>
    </row>
    <row r="32" spans="1:9">
      <c r="A32" s="207"/>
      <c r="B32" s="207"/>
      <c r="C32" s="207"/>
      <c r="D32" s="207"/>
      <c r="E32" s="207"/>
      <c r="F32" s="207"/>
      <c r="G32" s="207"/>
      <c r="H32" s="207"/>
      <c r="I32" s="207"/>
    </row>
    <row r="33" spans="4:7">
      <c r="G33" s="208"/>
    </row>
    <row r="34" spans="4:7">
      <c r="G34" s="136"/>
    </row>
    <row r="42" spans="4:7">
      <c r="D42" s="209"/>
    </row>
    <row r="44" spans="4:7">
      <c r="D44" s="209"/>
    </row>
    <row r="45" spans="4:7">
      <c r="D45" s="209"/>
    </row>
    <row r="46" spans="4:7">
      <c r="D46" s="209"/>
    </row>
    <row r="47" spans="4:7">
      <c r="D47" s="209"/>
    </row>
  </sheetData>
  <sheetProtection password="DD6C" sheet="1" objects="1" scenarios="1"/>
  <mergeCells count="19">
    <mergeCell ref="A1:I1"/>
    <mergeCell ref="A2:I2"/>
    <mergeCell ref="C4:E4"/>
    <mergeCell ref="G4:I4"/>
    <mergeCell ref="C5:E5"/>
    <mergeCell ref="G5:I5"/>
    <mergeCell ref="A28:B28"/>
    <mergeCell ref="A24:B26"/>
    <mergeCell ref="A4:B7"/>
    <mergeCell ref="A22:I22"/>
    <mergeCell ref="C24:E24"/>
    <mergeCell ref="G24:I24"/>
    <mergeCell ref="C25:E25"/>
    <mergeCell ref="G25:I25"/>
    <mergeCell ref="G7:I7"/>
    <mergeCell ref="A9:B9"/>
    <mergeCell ref="A11:B11"/>
    <mergeCell ref="A15:B15"/>
    <mergeCell ref="A21:I21"/>
  </mergeCells>
  <pageMargins left="0.5" right="0.5" top="0.75" bottom="0.75" header="0.30972222222222201" footer="0.30972222222222201"/>
  <pageSetup paperSize="9" scale="95" orientation="portrait" r:id="rId1"/>
  <headerFooter>
    <oddFooter>&amp;C&amp;"Century Gothic"&amp;10 29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topLeftCell="A7" zoomScale="115" zoomScaleNormal="115" zoomScaleSheetLayoutView="70" workbookViewId="0">
      <selection activeCell="C15" sqref="A1:XFD1048576"/>
    </sheetView>
  </sheetViews>
  <sheetFormatPr defaultColWidth="9.140625" defaultRowHeight="16.5"/>
  <cols>
    <col min="1" max="1" width="41.42578125" style="275" customWidth="1"/>
    <col min="2" max="3" width="12.7109375" style="275" customWidth="1"/>
    <col min="4" max="5" width="12.140625" style="275" customWidth="1"/>
    <col min="6" max="9" width="9.140625" style="275"/>
    <col min="10" max="10" width="9.85546875" style="275" customWidth="1"/>
    <col min="11" max="16384" width="9.140625" style="275"/>
  </cols>
  <sheetData>
    <row r="1" spans="1:7" ht="15" customHeight="1">
      <c r="A1" s="352" t="s">
        <v>58</v>
      </c>
      <c r="B1" s="352"/>
      <c r="C1" s="352"/>
      <c r="D1" s="352"/>
      <c r="E1" s="352"/>
    </row>
    <row r="2" spans="1:7" ht="15" customHeight="1">
      <c r="A2" s="353" t="s">
        <v>59</v>
      </c>
      <c r="B2" s="353"/>
      <c r="C2" s="353"/>
      <c r="D2" s="353"/>
      <c r="E2" s="353"/>
    </row>
    <row r="3" spans="1:7" ht="15" customHeight="1" thickBot="1">
      <c r="A3" s="305"/>
      <c r="B3" s="304"/>
      <c r="C3" s="304"/>
      <c r="D3" s="303"/>
      <c r="E3" s="303"/>
    </row>
    <row r="4" spans="1:7" ht="30" customHeight="1">
      <c r="A4" s="354" t="s">
        <v>248</v>
      </c>
      <c r="B4" s="354" t="s">
        <v>247</v>
      </c>
      <c r="C4" s="354"/>
      <c r="D4" s="356" t="s">
        <v>246</v>
      </c>
      <c r="E4" s="356"/>
    </row>
    <row r="5" spans="1:7" ht="22.5" customHeight="1">
      <c r="A5" s="354"/>
      <c r="B5" s="354"/>
      <c r="C5" s="354"/>
      <c r="D5" s="354"/>
      <c r="E5" s="354"/>
    </row>
    <row r="6" spans="1:7" ht="22.5" customHeight="1" thickBot="1">
      <c r="A6" s="355"/>
      <c r="B6" s="302">
        <v>2019</v>
      </c>
      <c r="C6" s="302">
        <v>2020</v>
      </c>
      <c r="D6" s="302">
        <v>2019</v>
      </c>
      <c r="E6" s="302">
        <v>2020</v>
      </c>
    </row>
    <row r="7" spans="1:7" ht="22.5" customHeight="1">
      <c r="A7" s="301"/>
      <c r="B7" s="300"/>
      <c r="C7" s="300"/>
      <c r="D7" s="299"/>
      <c r="E7" s="299"/>
    </row>
    <row r="8" spans="1:7" ht="45" customHeight="1">
      <c r="A8" s="293" t="s">
        <v>245</v>
      </c>
      <c r="B8" s="292">
        <f>SUM(B9:B15)</f>
        <v>92638159</v>
      </c>
      <c r="C8" s="292">
        <f>SUM(C9:C15)</f>
        <v>38634646.976337016</v>
      </c>
      <c r="D8" s="291">
        <f t="shared" ref="D8:E11" si="0">B8/B$19*100</f>
        <v>89.779785212520025</v>
      </c>
      <c r="E8" s="291">
        <f t="shared" si="0"/>
        <v>95.572747486583793</v>
      </c>
    </row>
    <row r="9" spans="1:7" ht="45" customHeight="1">
      <c r="A9" s="296" t="s">
        <v>244</v>
      </c>
      <c r="B9" s="295">
        <v>39033366</v>
      </c>
      <c r="C9" s="295">
        <v>21267378.444356602</v>
      </c>
      <c r="D9" s="294">
        <f t="shared" si="0"/>
        <v>37.828981635976618</v>
      </c>
      <c r="E9" s="294">
        <f t="shared" si="0"/>
        <v>52.610336804915704</v>
      </c>
      <c r="F9" s="289"/>
      <c r="G9" s="298"/>
    </row>
    <row r="10" spans="1:7" ht="45" customHeight="1">
      <c r="A10" s="296" t="s">
        <v>243</v>
      </c>
      <c r="B10" s="295">
        <v>15498476</v>
      </c>
      <c r="C10" s="295">
        <v>3627165.7767524198</v>
      </c>
      <c r="D10" s="294">
        <f t="shared" si="0"/>
        <v>15.020266609587917</v>
      </c>
      <c r="E10" s="294">
        <f t="shared" si="0"/>
        <v>8.9727285222991444</v>
      </c>
      <c r="F10" s="289"/>
    </row>
    <row r="11" spans="1:7" ht="45" customHeight="1">
      <c r="A11" s="297" t="s">
        <v>242</v>
      </c>
      <c r="B11" s="295">
        <v>6384521</v>
      </c>
      <c r="C11" s="295">
        <v>2506281.2595462101</v>
      </c>
      <c r="D11" s="294">
        <f t="shared" si="0"/>
        <v>6.1875249924258915</v>
      </c>
      <c r="E11" s="294">
        <f t="shared" si="0"/>
        <v>6.1999320479277573</v>
      </c>
      <c r="F11" s="289"/>
    </row>
    <row r="12" spans="1:7" ht="45" customHeight="1">
      <c r="A12" s="297" t="s">
        <v>241</v>
      </c>
      <c r="B12" s="295">
        <v>14702436</v>
      </c>
      <c r="C12" s="295">
        <v>7497359.0783233298</v>
      </c>
      <c r="D12" s="294">
        <f>(B12/B$19*100)+0.01</f>
        <v>14.258788624791453</v>
      </c>
      <c r="E12" s="294">
        <f>(C12/C$19*100)+0.01</f>
        <v>18.556648205371495</v>
      </c>
      <c r="F12" s="289"/>
    </row>
    <row r="13" spans="1:7" ht="45" customHeight="1">
      <c r="A13" s="297" t="s">
        <v>240</v>
      </c>
      <c r="B13" s="295">
        <v>8625689</v>
      </c>
      <c r="C13" s="295">
        <v>2087862.5710179601</v>
      </c>
      <c r="D13" s="294">
        <f t="shared" ref="D13:E16" si="1">B13/B$19*100</f>
        <v>8.3595411878812982</v>
      </c>
      <c r="E13" s="294">
        <f t="shared" si="1"/>
        <v>5.1648656815424054</v>
      </c>
      <c r="F13" s="289"/>
    </row>
    <row r="14" spans="1:7" ht="67.5" customHeight="1">
      <c r="A14" s="297" t="s">
        <v>239</v>
      </c>
      <c r="B14" s="295">
        <v>3207952</v>
      </c>
      <c r="C14" s="295">
        <v>463256.67104799999</v>
      </c>
      <c r="D14" s="294">
        <f t="shared" si="1"/>
        <v>3.1089698310182743</v>
      </c>
      <c r="E14" s="294">
        <f t="shared" si="1"/>
        <v>1.145984661660383</v>
      </c>
      <c r="F14" s="289"/>
    </row>
    <row r="15" spans="1:7" ht="45" customHeight="1">
      <c r="A15" s="296" t="s">
        <v>238</v>
      </c>
      <c r="B15" s="295">
        <v>5185719</v>
      </c>
      <c r="C15" s="295">
        <v>1185343.1752925001</v>
      </c>
      <c r="D15" s="294">
        <f t="shared" si="1"/>
        <v>5.0257123308385703</v>
      </c>
      <c r="E15" s="294">
        <f t="shared" si="1"/>
        <v>2.9322515628669095</v>
      </c>
      <c r="F15" s="289"/>
    </row>
    <row r="16" spans="1:7" ht="45" customHeight="1">
      <c r="A16" s="293" t="s">
        <v>237</v>
      </c>
      <c r="B16" s="292">
        <v>10545602</v>
      </c>
      <c r="C16" s="292">
        <v>1789687.3578417001</v>
      </c>
      <c r="D16" s="291">
        <f t="shared" si="1"/>
        <v>10.22021478747998</v>
      </c>
      <c r="E16" s="290">
        <f t="shared" si="1"/>
        <v>4.4272525134162128</v>
      </c>
      <c r="F16" s="289"/>
    </row>
    <row r="17" spans="1:5" ht="22.5" customHeight="1" thickBot="1">
      <c r="A17" s="288"/>
      <c r="B17" s="287"/>
      <c r="C17" s="287"/>
      <c r="D17" s="286"/>
      <c r="E17" s="286"/>
    </row>
    <row r="18" spans="1:5" ht="15" customHeight="1">
      <c r="A18" s="285"/>
      <c r="B18" s="284"/>
      <c r="C18" s="284"/>
      <c r="D18" s="283"/>
      <c r="E18" s="283"/>
    </row>
    <row r="19" spans="1:5" ht="45" customHeight="1" thickBot="1">
      <c r="A19" s="282" t="s">
        <v>236</v>
      </c>
      <c r="B19" s="281">
        <f>B8+B16</f>
        <v>103183761</v>
      </c>
      <c r="C19" s="281">
        <f>C8+C16</f>
        <v>40424334.334178716</v>
      </c>
      <c r="D19" s="280">
        <f>D8+D16</f>
        <v>100</v>
      </c>
      <c r="E19" s="280">
        <f>E8+E16</f>
        <v>100</v>
      </c>
    </row>
    <row r="20" spans="1:5">
      <c r="A20" s="279"/>
      <c r="B20" s="279"/>
      <c r="C20" s="279"/>
      <c r="D20" s="279"/>
      <c r="E20" s="279"/>
    </row>
    <row r="21" spans="1:5">
      <c r="C21" s="278"/>
    </row>
    <row r="22" spans="1:5">
      <c r="B22" s="277"/>
    </row>
    <row r="23" spans="1:5">
      <c r="E23" s="276"/>
    </row>
  </sheetData>
  <mergeCells count="5">
    <mergeCell ref="A1:E1"/>
    <mergeCell ref="A2:E2"/>
    <mergeCell ref="A4:A6"/>
    <mergeCell ref="B4:C5"/>
    <mergeCell ref="D4:E5"/>
  </mergeCells>
  <pageMargins left="0.70972222222222203" right="0.70972222222222203" top="0.75" bottom="0.75" header="0.30972222222222201" footer="0.30972222222222201"/>
  <pageSetup paperSize="9" scale="95" orientation="portrait" r:id="rId1"/>
  <headerFooter>
    <oddFooter>&amp;C&amp;"Century Gothic"&amp;10  30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view="pageBreakPreview" zoomScaleSheetLayoutView="100" workbookViewId="0">
      <selection activeCell="C15" sqref="A1:XFD1048576"/>
    </sheetView>
  </sheetViews>
  <sheetFormatPr defaultColWidth="9.140625" defaultRowHeight="16.5"/>
  <cols>
    <col min="1" max="1" width="20.140625" style="100" customWidth="1"/>
    <col min="2" max="2" width="12.7109375" style="100" customWidth="1"/>
    <col min="3" max="5" width="20.140625" style="100" customWidth="1"/>
    <col min="6" max="6" width="20.7109375" style="100" customWidth="1"/>
    <col min="7" max="16384" width="9.140625" style="100"/>
  </cols>
  <sheetData>
    <row r="1" spans="1:6" ht="15" customHeight="1">
      <c r="A1" s="357" t="s">
        <v>60</v>
      </c>
      <c r="B1" s="357"/>
      <c r="C1" s="357"/>
      <c r="D1" s="357"/>
      <c r="E1" s="357"/>
      <c r="F1" s="357"/>
    </row>
    <row r="2" spans="1:6" ht="15" customHeight="1">
      <c r="A2" s="350" t="s">
        <v>61</v>
      </c>
      <c r="B2" s="350"/>
      <c r="C2" s="350"/>
      <c r="D2" s="350"/>
      <c r="E2" s="350"/>
      <c r="F2" s="350"/>
    </row>
    <row r="3" spans="1:6">
      <c r="A3" s="153"/>
      <c r="B3" s="154"/>
      <c r="C3" s="154"/>
      <c r="D3" s="154"/>
      <c r="E3" s="154"/>
      <c r="F3" s="154"/>
    </row>
    <row r="4" spans="1:6" ht="60" customHeight="1">
      <c r="A4" s="358" t="s">
        <v>62</v>
      </c>
      <c r="B4" s="360" t="s">
        <v>63</v>
      </c>
      <c r="C4" s="360" t="s">
        <v>64</v>
      </c>
      <c r="D4" s="360"/>
      <c r="E4" s="360"/>
      <c r="F4" s="361"/>
    </row>
    <row r="5" spans="1:6" ht="20.100000000000001" customHeight="1">
      <c r="A5" s="359"/>
      <c r="B5" s="329"/>
      <c r="C5" s="329"/>
      <c r="D5" s="329"/>
      <c r="E5" s="329"/>
      <c r="F5" s="362"/>
    </row>
    <row r="6" spans="1:6" s="152" customFormat="1" ht="18.75" customHeight="1">
      <c r="A6" s="155"/>
      <c r="B6" s="156"/>
      <c r="C6" s="156"/>
      <c r="D6" s="156"/>
      <c r="E6" s="156"/>
      <c r="F6" s="157"/>
    </row>
    <row r="7" spans="1:6" ht="60" customHeight="1">
      <c r="A7" s="158" t="s">
        <v>65</v>
      </c>
      <c r="B7" s="159">
        <v>42.3</v>
      </c>
      <c r="C7" s="160" t="s">
        <v>65</v>
      </c>
      <c r="D7" s="160" t="s">
        <v>66</v>
      </c>
      <c r="E7" s="160" t="s">
        <v>67</v>
      </c>
      <c r="F7" s="161" t="s">
        <v>68</v>
      </c>
    </row>
    <row r="8" spans="1:6" ht="75" customHeight="1">
      <c r="A8" s="158" t="s">
        <v>69</v>
      </c>
      <c r="B8" s="162">
        <v>32</v>
      </c>
      <c r="C8" s="160" t="s">
        <v>69</v>
      </c>
      <c r="D8" s="160" t="s">
        <v>66</v>
      </c>
      <c r="E8" s="160" t="s">
        <v>65</v>
      </c>
      <c r="F8" s="161" t="s">
        <v>67</v>
      </c>
    </row>
    <row r="9" spans="1:6" ht="90" customHeight="1">
      <c r="A9" s="158" t="s">
        <v>70</v>
      </c>
      <c r="B9" s="159">
        <v>16.899999999999999</v>
      </c>
      <c r="C9" s="160" t="s">
        <v>66</v>
      </c>
      <c r="D9" s="160" t="s">
        <v>65</v>
      </c>
      <c r="E9" s="160" t="s">
        <v>67</v>
      </c>
      <c r="F9" s="161" t="s">
        <v>71</v>
      </c>
    </row>
    <row r="10" spans="1:6" ht="75" customHeight="1">
      <c r="A10" s="158" t="s">
        <v>72</v>
      </c>
      <c r="B10" s="163">
        <v>4.2</v>
      </c>
      <c r="C10" s="160" t="s">
        <v>73</v>
      </c>
      <c r="D10" s="160" t="s">
        <v>66</v>
      </c>
      <c r="E10" s="160" t="s">
        <v>65</v>
      </c>
      <c r="F10" s="161" t="s">
        <v>69</v>
      </c>
    </row>
    <row r="11" spans="1:6" ht="90" customHeight="1">
      <c r="A11" s="165" t="s">
        <v>76</v>
      </c>
      <c r="B11" s="163">
        <v>1.7</v>
      </c>
      <c r="C11" s="160" t="s">
        <v>66</v>
      </c>
      <c r="D11" s="160" t="s">
        <v>67</v>
      </c>
      <c r="E11" s="160" t="s">
        <v>65</v>
      </c>
      <c r="F11" s="161" t="s">
        <v>77</v>
      </c>
    </row>
    <row r="12" spans="1:6" ht="75" customHeight="1">
      <c r="A12" s="158" t="s">
        <v>74</v>
      </c>
      <c r="B12" s="164">
        <v>1.4</v>
      </c>
      <c r="C12" s="160" t="s">
        <v>66</v>
      </c>
      <c r="D12" s="160" t="s">
        <v>65</v>
      </c>
      <c r="E12" s="160" t="s">
        <v>67</v>
      </c>
      <c r="F12" s="161" t="s">
        <v>75</v>
      </c>
    </row>
    <row r="13" spans="1:6" ht="105.75" customHeight="1">
      <c r="A13" s="158" t="s">
        <v>78</v>
      </c>
      <c r="B13" s="163">
        <v>0.9</v>
      </c>
      <c r="C13" s="160" t="s">
        <v>66</v>
      </c>
      <c r="D13" s="160" t="s">
        <v>79</v>
      </c>
      <c r="E13" s="160" t="s">
        <v>80</v>
      </c>
      <c r="F13" s="161" t="s">
        <v>65</v>
      </c>
    </row>
    <row r="14" spans="1:6" ht="90" customHeight="1">
      <c r="A14" s="158" t="s">
        <v>81</v>
      </c>
      <c r="B14" s="163">
        <v>0.6</v>
      </c>
      <c r="C14" s="160" t="s">
        <v>65</v>
      </c>
      <c r="D14" s="160" t="s">
        <v>66</v>
      </c>
      <c r="E14" s="160" t="s">
        <v>82</v>
      </c>
      <c r="F14" s="161" t="s">
        <v>67</v>
      </c>
    </row>
    <row r="15" spans="1:6" ht="45" customHeight="1">
      <c r="A15" s="166" t="s">
        <v>83</v>
      </c>
      <c r="B15" s="167">
        <v>100</v>
      </c>
      <c r="C15" s="168"/>
      <c r="D15" s="169"/>
      <c r="E15" s="168"/>
      <c r="F15" s="170"/>
    </row>
    <row r="16" spans="1:6">
      <c r="A16" s="99"/>
      <c r="B16" s="99"/>
      <c r="D16" s="171"/>
      <c r="E16" s="99"/>
      <c r="F16" s="99"/>
    </row>
    <row r="17" spans="1:4">
      <c r="C17" s="172"/>
      <c r="D17" s="173"/>
    </row>
    <row r="18" spans="1:4">
      <c r="A18" s="174"/>
      <c r="D18" s="173"/>
    </row>
    <row r="19" spans="1:4">
      <c r="D19" s="173"/>
    </row>
  </sheetData>
  <sheetProtection password="DD6C" sheet="1" objects="1" scenarios="1"/>
  <mergeCells count="5">
    <mergeCell ref="A1:F1"/>
    <mergeCell ref="A2:F2"/>
    <mergeCell ref="A4:A5"/>
    <mergeCell ref="B4:B5"/>
    <mergeCell ref="C4:F5"/>
  </mergeCells>
  <pageMargins left="0.50972222222222197" right="0.30972222222222201" top="0.75" bottom="0.5" header="0.30972222222222201" footer="0.30972222222222201"/>
  <pageSetup paperSize="9" scale="80" orientation="portrait" r:id="rId1"/>
  <headerFooter>
    <oddFooter>&amp;C&amp;"Century Gothic"&amp;10   31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view="pageBreakPreview" workbookViewId="0">
      <selection activeCell="C15" sqref="A1:XFD1048576"/>
    </sheetView>
  </sheetViews>
  <sheetFormatPr defaultColWidth="9.140625" defaultRowHeight="16.5"/>
  <cols>
    <col min="1" max="1" width="6.140625" style="35" customWidth="1"/>
    <col min="2" max="2" width="15.7109375" style="35" customWidth="1"/>
    <col min="3" max="5" width="10.7109375" style="35" customWidth="1"/>
    <col min="6" max="6" width="2.7109375" style="35" customWidth="1"/>
    <col min="7" max="7" width="15.7109375" style="35" customWidth="1"/>
    <col min="8" max="10" width="10.7109375" style="35" customWidth="1"/>
    <col min="11" max="16384" width="9.140625" style="35"/>
  </cols>
  <sheetData>
    <row r="1" spans="1:10" s="149" customFormat="1" ht="15" customHeight="1">
      <c r="B1" s="370" t="s">
        <v>84</v>
      </c>
      <c r="C1" s="370"/>
      <c r="D1" s="370"/>
      <c r="E1" s="370"/>
      <c r="F1" s="370"/>
      <c r="G1" s="370"/>
      <c r="H1" s="370"/>
      <c r="I1" s="370"/>
      <c r="J1" s="370"/>
    </row>
    <row r="2" spans="1:10" s="149" customFormat="1" ht="15" customHeight="1">
      <c r="B2" s="340" t="s">
        <v>85</v>
      </c>
      <c r="C2" s="340"/>
      <c r="D2" s="340"/>
      <c r="E2" s="340"/>
      <c r="F2" s="340"/>
      <c r="G2" s="340"/>
      <c r="H2" s="340"/>
      <c r="I2" s="340"/>
      <c r="J2" s="340"/>
    </row>
    <row r="3" spans="1:10">
      <c r="A3" s="142"/>
      <c r="B3" s="142"/>
      <c r="C3" s="142"/>
      <c r="D3" s="142"/>
      <c r="E3" s="142"/>
      <c r="F3" s="142"/>
      <c r="G3" s="142"/>
      <c r="H3" s="85"/>
      <c r="I3" s="85"/>
      <c r="J3" s="142"/>
    </row>
    <row r="4" spans="1:10" ht="32.25" customHeight="1">
      <c r="A4" s="142"/>
      <c r="B4" s="371" t="s">
        <v>86</v>
      </c>
      <c r="C4" s="373" t="s">
        <v>87</v>
      </c>
      <c r="D4" s="374"/>
      <c r="E4" s="375"/>
      <c r="F4" s="73"/>
      <c r="G4" s="371" t="s">
        <v>86</v>
      </c>
      <c r="H4" s="373" t="s">
        <v>87</v>
      </c>
      <c r="I4" s="374"/>
      <c r="J4" s="375"/>
    </row>
    <row r="5" spans="1:10" ht="31.5" customHeight="1">
      <c r="A5" s="142"/>
      <c r="B5" s="372"/>
      <c r="C5" s="374"/>
      <c r="D5" s="374"/>
      <c r="E5" s="375"/>
      <c r="F5" s="73"/>
      <c r="G5" s="372"/>
      <c r="H5" s="374"/>
      <c r="I5" s="374"/>
      <c r="J5" s="375"/>
    </row>
    <row r="6" spans="1:10" ht="87.75" customHeight="1">
      <c r="A6" s="142"/>
      <c r="B6" s="150" t="s">
        <v>88</v>
      </c>
      <c r="C6" s="363" t="s">
        <v>222</v>
      </c>
      <c r="D6" s="364"/>
      <c r="E6" s="365"/>
      <c r="F6" s="39"/>
      <c r="G6" s="150" t="s">
        <v>89</v>
      </c>
      <c r="H6" s="363" t="s">
        <v>229</v>
      </c>
      <c r="I6" s="364"/>
      <c r="J6" s="365"/>
    </row>
    <row r="7" spans="1:10" ht="87.95" customHeight="1">
      <c r="B7" s="150" t="s">
        <v>90</v>
      </c>
      <c r="C7" s="363" t="s">
        <v>223</v>
      </c>
      <c r="D7" s="364"/>
      <c r="E7" s="365"/>
      <c r="F7" s="39"/>
      <c r="G7" s="150" t="s">
        <v>91</v>
      </c>
      <c r="H7" s="363" t="s">
        <v>230</v>
      </c>
      <c r="I7" s="364"/>
      <c r="J7" s="365"/>
    </row>
    <row r="8" spans="1:10" ht="101.25" customHeight="1">
      <c r="A8" s="36"/>
      <c r="B8" s="150" t="s">
        <v>92</v>
      </c>
      <c r="C8" s="363" t="s">
        <v>224</v>
      </c>
      <c r="D8" s="364"/>
      <c r="E8" s="365"/>
      <c r="F8" s="39"/>
      <c r="G8" s="150" t="s">
        <v>93</v>
      </c>
      <c r="H8" s="363" t="s">
        <v>231</v>
      </c>
      <c r="I8" s="364"/>
      <c r="J8" s="365"/>
    </row>
    <row r="9" spans="1:10" ht="87.75" customHeight="1">
      <c r="A9" s="36"/>
      <c r="B9" s="150" t="s">
        <v>94</v>
      </c>
      <c r="C9" s="363" t="s">
        <v>225</v>
      </c>
      <c r="D9" s="364"/>
      <c r="E9" s="365"/>
      <c r="F9" s="39"/>
      <c r="G9" s="150" t="s">
        <v>95</v>
      </c>
      <c r="H9" s="363" t="s">
        <v>232</v>
      </c>
      <c r="I9" s="364"/>
      <c r="J9" s="365"/>
    </row>
    <row r="10" spans="1:10" ht="101.25" customHeight="1">
      <c r="A10" s="36"/>
      <c r="B10" s="150" t="s">
        <v>96</v>
      </c>
      <c r="C10" s="363" t="s">
        <v>226</v>
      </c>
      <c r="D10" s="364"/>
      <c r="E10" s="365"/>
      <c r="F10" s="39"/>
      <c r="G10" s="150" t="s">
        <v>97</v>
      </c>
      <c r="H10" s="363" t="s">
        <v>233</v>
      </c>
      <c r="I10" s="364"/>
      <c r="J10" s="365"/>
    </row>
    <row r="11" spans="1:10" ht="105" customHeight="1">
      <c r="A11" s="36"/>
      <c r="B11" s="150" t="s">
        <v>98</v>
      </c>
      <c r="C11" s="363" t="s">
        <v>227</v>
      </c>
      <c r="D11" s="364"/>
      <c r="E11" s="365"/>
      <c r="F11" s="39"/>
      <c r="G11" s="150" t="s">
        <v>99</v>
      </c>
      <c r="H11" s="363" t="s">
        <v>234</v>
      </c>
      <c r="I11" s="364"/>
      <c r="J11" s="365"/>
    </row>
    <row r="12" spans="1:10" ht="87.95" customHeight="1">
      <c r="A12" s="36"/>
      <c r="B12" s="150" t="s">
        <v>100</v>
      </c>
      <c r="C12" s="366" t="s">
        <v>228</v>
      </c>
      <c r="D12" s="367"/>
      <c r="E12" s="368"/>
      <c r="F12" s="39"/>
      <c r="G12" s="150" t="s">
        <v>101</v>
      </c>
      <c r="H12" s="364" t="s">
        <v>102</v>
      </c>
      <c r="I12" s="364"/>
      <c r="J12" s="365"/>
    </row>
    <row r="13" spans="1:10" ht="105" customHeight="1">
      <c r="A13" s="36"/>
      <c r="B13" s="150" t="s">
        <v>103</v>
      </c>
      <c r="C13" s="369" t="s">
        <v>104</v>
      </c>
      <c r="D13" s="367"/>
      <c r="E13" s="368"/>
      <c r="F13" s="39"/>
      <c r="G13" s="150" t="s">
        <v>105</v>
      </c>
      <c r="H13" s="364" t="s">
        <v>106</v>
      </c>
      <c r="I13" s="364"/>
      <c r="J13" s="365"/>
    </row>
    <row r="14" spans="1:10" ht="66" customHeight="1"/>
    <row r="15" spans="1:10" ht="66" customHeight="1"/>
    <row r="16" spans="1:10" ht="66" customHeight="1"/>
    <row r="17" ht="66" customHeight="1"/>
    <row r="18" ht="66" customHeight="1"/>
    <row r="19" ht="66" customHeight="1"/>
    <row r="20" ht="66" customHeight="1"/>
    <row r="21" ht="66" customHeight="1"/>
    <row r="55" spans="7:7">
      <c r="G55" s="151"/>
    </row>
  </sheetData>
  <sheetProtection password="DD6C" sheet="1" objects="1" scenarios="1"/>
  <mergeCells count="22">
    <mergeCell ref="B1:J1"/>
    <mergeCell ref="B2:J2"/>
    <mergeCell ref="C6:E6"/>
    <mergeCell ref="H6:J6"/>
    <mergeCell ref="C7:E7"/>
    <mergeCell ref="H7:J7"/>
    <mergeCell ref="B4:B5"/>
    <mergeCell ref="G4:G5"/>
    <mergeCell ref="C4:E5"/>
    <mergeCell ref="H4:J5"/>
    <mergeCell ref="C8:E8"/>
    <mergeCell ref="H8:J8"/>
    <mergeCell ref="C9:E9"/>
    <mergeCell ref="H9:J9"/>
    <mergeCell ref="C10:E10"/>
    <mergeCell ref="H10:J10"/>
    <mergeCell ref="C11:E11"/>
    <mergeCell ref="H11:J11"/>
    <mergeCell ref="C12:E12"/>
    <mergeCell ref="H12:J12"/>
    <mergeCell ref="C13:E13"/>
    <mergeCell ref="H13:J13"/>
  </mergeCells>
  <pageMargins left="0.5" right="0.5" top="0.75" bottom="0.75" header="0.30972222222222201" footer="0.30972222222222201"/>
  <pageSetup paperSize="9" scale="85" orientation="portrait" r:id="rId1"/>
  <headerFooter>
    <oddFooter>&amp;C&amp;"Century Gothic"&amp;10 32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view="pageBreakPreview" topLeftCell="A7" zoomScaleNormal="85" workbookViewId="0">
      <selection activeCell="C15" sqref="A1:XFD1048576"/>
    </sheetView>
  </sheetViews>
  <sheetFormatPr defaultColWidth="9.140625" defaultRowHeight="16.5"/>
  <cols>
    <col min="1" max="1" width="6.140625" style="1" customWidth="1"/>
    <col min="2" max="2" width="17.7109375" style="1" customWidth="1"/>
    <col min="3" max="5" width="9.7109375" style="1" customWidth="1"/>
    <col min="6" max="6" width="2.7109375" style="1" customWidth="1"/>
    <col min="7" max="7" width="17.7109375" style="1" customWidth="1"/>
    <col min="8" max="10" width="9.7109375" style="1" customWidth="1"/>
    <col min="11" max="16384" width="9.140625" style="1"/>
  </cols>
  <sheetData>
    <row r="1" spans="1:11" s="3" customFormat="1" ht="15" customHeight="1">
      <c r="B1" s="376" t="s">
        <v>107</v>
      </c>
      <c r="C1" s="376"/>
      <c r="D1" s="376"/>
      <c r="E1" s="376"/>
      <c r="F1" s="376"/>
      <c r="G1" s="376"/>
      <c r="H1" s="376"/>
      <c r="I1" s="376"/>
      <c r="J1" s="376"/>
      <c r="K1" s="274"/>
    </row>
    <row r="2" spans="1:11" s="3" customFormat="1" ht="15" customHeight="1">
      <c r="B2" s="377" t="s">
        <v>108</v>
      </c>
      <c r="C2" s="377"/>
      <c r="D2" s="377"/>
      <c r="E2" s="377"/>
      <c r="F2" s="377"/>
      <c r="G2" s="377"/>
      <c r="H2" s="377"/>
      <c r="I2" s="377"/>
      <c r="J2" s="377"/>
      <c r="K2" s="273"/>
    </row>
    <row r="3" spans="1:11" ht="17.25" thickBot="1">
      <c r="A3" s="141"/>
      <c r="B3" s="142"/>
      <c r="C3" s="142"/>
      <c r="D3" s="142"/>
      <c r="E3" s="142"/>
      <c r="F3" s="142"/>
      <c r="G3" s="142"/>
      <c r="H3" s="85"/>
      <c r="I3" s="142"/>
      <c r="J3" s="142"/>
    </row>
    <row r="4" spans="1:11" ht="48.75" customHeight="1" thickBot="1">
      <c r="A4" s="141"/>
      <c r="B4" s="383" t="s">
        <v>109</v>
      </c>
      <c r="C4" s="385" t="s">
        <v>110</v>
      </c>
      <c r="D4" s="385"/>
      <c r="E4" s="386"/>
      <c r="F4" s="143"/>
      <c r="G4" s="383" t="s">
        <v>109</v>
      </c>
      <c r="H4" s="385" t="s">
        <v>110</v>
      </c>
      <c r="I4" s="385"/>
      <c r="J4" s="386"/>
    </row>
    <row r="5" spans="1:11" ht="48.75" customHeight="1" thickBot="1">
      <c r="A5" s="141"/>
      <c r="B5" s="384"/>
      <c r="C5" s="385"/>
      <c r="D5" s="385"/>
      <c r="E5" s="386"/>
      <c r="F5" s="143"/>
      <c r="G5" s="384"/>
      <c r="H5" s="385"/>
      <c r="I5" s="385"/>
      <c r="J5" s="386"/>
    </row>
    <row r="6" spans="1:11" ht="115.5" customHeight="1" thickBot="1">
      <c r="A6" s="127"/>
      <c r="B6" s="144" t="s">
        <v>88</v>
      </c>
      <c r="C6" s="378" t="s">
        <v>111</v>
      </c>
      <c r="D6" s="378"/>
      <c r="E6" s="379"/>
      <c r="F6" s="145"/>
      <c r="G6" s="144" t="s">
        <v>100</v>
      </c>
      <c r="H6" s="380" t="s">
        <v>112</v>
      </c>
      <c r="I6" s="381"/>
      <c r="J6" s="382"/>
    </row>
    <row r="7" spans="1:11" ht="115.5" customHeight="1" thickBot="1">
      <c r="A7" s="128"/>
      <c r="B7" s="144" t="s">
        <v>90</v>
      </c>
      <c r="C7" s="378" t="s">
        <v>113</v>
      </c>
      <c r="D7" s="378"/>
      <c r="E7" s="379"/>
      <c r="F7" s="145"/>
      <c r="G7" s="144" t="s">
        <v>103</v>
      </c>
      <c r="H7" s="380" t="s">
        <v>114</v>
      </c>
      <c r="I7" s="381"/>
      <c r="J7" s="382"/>
    </row>
    <row r="8" spans="1:11" ht="115.5" customHeight="1" thickBot="1">
      <c r="A8" s="128"/>
      <c r="B8" s="144" t="s">
        <v>92</v>
      </c>
      <c r="C8" s="378" t="s">
        <v>115</v>
      </c>
      <c r="D8" s="378"/>
      <c r="E8" s="379"/>
      <c r="F8" s="145"/>
      <c r="G8" s="144" t="s">
        <v>91</v>
      </c>
      <c r="H8" s="378" t="s">
        <v>116</v>
      </c>
      <c r="I8" s="378"/>
      <c r="J8" s="379"/>
    </row>
    <row r="9" spans="1:11" ht="115.5" customHeight="1" thickBot="1">
      <c r="A9" s="128"/>
      <c r="B9" s="144" t="s">
        <v>94</v>
      </c>
      <c r="C9" s="378" t="s">
        <v>117</v>
      </c>
      <c r="D9" s="378"/>
      <c r="E9" s="379"/>
      <c r="F9" s="145"/>
      <c r="G9" s="144" t="s">
        <v>93</v>
      </c>
      <c r="H9" s="378" t="s">
        <v>118</v>
      </c>
      <c r="I9" s="378"/>
      <c r="J9" s="379"/>
    </row>
    <row r="10" spans="1:11" ht="115.5" customHeight="1" thickBot="1">
      <c r="A10" s="128"/>
      <c r="B10" s="144" t="s">
        <v>96</v>
      </c>
      <c r="C10" s="378" t="s">
        <v>119</v>
      </c>
      <c r="D10" s="378"/>
      <c r="E10" s="379"/>
      <c r="F10" s="145"/>
      <c r="G10" s="144" t="s">
        <v>95</v>
      </c>
      <c r="H10" s="378" t="s">
        <v>120</v>
      </c>
      <c r="I10" s="378"/>
      <c r="J10" s="379"/>
    </row>
    <row r="11" spans="1:11" ht="115.5" customHeight="1" thickBot="1">
      <c r="A11" s="128"/>
      <c r="B11" s="144" t="s">
        <v>98</v>
      </c>
      <c r="C11" s="378" t="s">
        <v>121</v>
      </c>
      <c r="D11" s="378"/>
      <c r="E11" s="379"/>
      <c r="F11" s="145"/>
      <c r="G11" s="144" t="s">
        <v>97</v>
      </c>
      <c r="H11" s="378" t="s">
        <v>235</v>
      </c>
      <c r="I11" s="378"/>
      <c r="J11" s="379"/>
    </row>
    <row r="13" spans="1:11">
      <c r="B13" s="146" t="s">
        <v>122</v>
      </c>
    </row>
    <row r="14" spans="1:11">
      <c r="B14" s="147" t="s">
        <v>123</v>
      </c>
    </row>
    <row r="41" spans="7:7">
      <c r="G41" s="148"/>
    </row>
  </sheetData>
  <mergeCells count="18">
    <mergeCell ref="C10:E10"/>
    <mergeCell ref="H10:J10"/>
    <mergeCell ref="C11:E11"/>
    <mergeCell ref="H11:J11"/>
    <mergeCell ref="B4:B5"/>
    <mergeCell ref="G4:G5"/>
    <mergeCell ref="C4:E5"/>
    <mergeCell ref="H4:J5"/>
    <mergeCell ref="C8:E8"/>
    <mergeCell ref="H8:J8"/>
    <mergeCell ref="C9:E9"/>
    <mergeCell ref="H9:J9"/>
    <mergeCell ref="B1:J1"/>
    <mergeCell ref="B2:J2"/>
    <mergeCell ref="C6:E6"/>
    <mergeCell ref="H6:J6"/>
    <mergeCell ref="C7:E7"/>
    <mergeCell ref="H7:J7"/>
  </mergeCells>
  <pageMargins left="0.5" right="0.5" top="0.75" bottom="0.75" header="0.30972222222222201" footer="0.30972222222222201"/>
  <pageSetup paperSize="9" scale="85" orientation="portrait" r:id="rId1"/>
  <headerFooter>
    <oddFooter>&amp;C&amp;"Century Gothic"&amp;10  33&amp;R&amp;"Century Gothic"&amp;10</oddFooter>
  </headerFooter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5"/>
  <sheetViews>
    <sheetView view="pageBreakPreview" zoomScaleSheetLayoutView="100" workbookViewId="0">
      <selection activeCell="C15" sqref="A1:XFD1048576"/>
    </sheetView>
  </sheetViews>
  <sheetFormatPr defaultColWidth="9.140625" defaultRowHeight="16.5"/>
  <cols>
    <col min="1" max="1" width="18.140625" style="1" customWidth="1"/>
    <col min="2" max="9" width="10.42578125" style="1" customWidth="1"/>
    <col min="10" max="16384" width="9.140625" style="1"/>
  </cols>
  <sheetData>
    <row r="1" spans="1:9" ht="15" customHeight="1">
      <c r="A1" s="387" t="s">
        <v>124</v>
      </c>
      <c r="B1" s="387"/>
      <c r="C1" s="387"/>
      <c r="D1" s="387"/>
      <c r="E1" s="387"/>
      <c r="F1" s="387"/>
      <c r="G1" s="387"/>
      <c r="H1" s="387"/>
      <c r="I1" s="387"/>
    </row>
    <row r="2" spans="1:9" ht="15" customHeight="1">
      <c r="A2" s="388" t="s">
        <v>125</v>
      </c>
      <c r="B2" s="388"/>
      <c r="C2" s="388"/>
      <c r="D2" s="388"/>
      <c r="E2" s="388"/>
      <c r="F2" s="388"/>
      <c r="G2" s="388"/>
      <c r="H2" s="388"/>
      <c r="I2" s="388"/>
    </row>
    <row r="3" spans="1:9">
      <c r="A3" s="125"/>
      <c r="B3" s="126"/>
      <c r="C3" s="127"/>
      <c r="D3" s="127"/>
      <c r="E3" s="127"/>
      <c r="F3" s="127"/>
      <c r="G3" s="128"/>
      <c r="H3" s="128"/>
      <c r="I3" s="128"/>
    </row>
    <row r="4" spans="1:9" ht="45" customHeight="1">
      <c r="A4" s="373" t="s">
        <v>126</v>
      </c>
      <c r="B4" s="373" t="s">
        <v>127</v>
      </c>
      <c r="C4" s="373"/>
      <c r="D4" s="373"/>
      <c r="E4" s="373"/>
      <c r="F4" s="373"/>
      <c r="G4" s="373"/>
      <c r="H4" s="373"/>
      <c r="I4" s="373"/>
    </row>
    <row r="5" spans="1:9" ht="18.75" customHeight="1">
      <c r="A5" s="373"/>
      <c r="B5" s="43">
        <v>2013</v>
      </c>
      <c r="C5" s="43">
        <v>2014</v>
      </c>
      <c r="D5" s="43">
        <v>2015</v>
      </c>
      <c r="E5" s="43">
        <v>2016</v>
      </c>
      <c r="F5" s="43">
        <v>2017</v>
      </c>
      <c r="G5" s="43">
        <v>2018</v>
      </c>
      <c r="H5" s="43">
        <v>2019</v>
      </c>
      <c r="I5" s="43">
        <v>2020</v>
      </c>
    </row>
    <row r="6" spans="1:9" s="124" customFormat="1" ht="15" customHeight="1">
      <c r="A6" s="129"/>
      <c r="B6" s="13"/>
      <c r="C6" s="13"/>
      <c r="D6" s="13"/>
      <c r="E6" s="13"/>
      <c r="F6" s="13"/>
      <c r="G6" s="13"/>
      <c r="H6" s="130"/>
      <c r="I6" s="137"/>
    </row>
    <row r="7" spans="1:9" ht="36" customHeight="1">
      <c r="A7" s="131" t="s">
        <v>128</v>
      </c>
      <c r="B7" s="132">
        <v>10360</v>
      </c>
      <c r="C7" s="132">
        <v>11636.599050553299</v>
      </c>
      <c r="D7" s="132">
        <v>11589</v>
      </c>
      <c r="E7" s="132">
        <v>12207</v>
      </c>
      <c r="F7" s="132">
        <v>13140.639734447799</v>
      </c>
      <c r="G7" s="132">
        <v>13487.2379119749</v>
      </c>
      <c r="H7" s="132">
        <v>14274</v>
      </c>
      <c r="I7" s="138">
        <v>7243</v>
      </c>
    </row>
    <row r="8" spans="1:9" ht="36" customHeight="1">
      <c r="A8" s="19" t="s">
        <v>129</v>
      </c>
      <c r="B8" s="132">
        <v>8706</v>
      </c>
      <c r="C8" s="132">
        <v>11372.8092052434</v>
      </c>
      <c r="D8" s="132">
        <v>12425</v>
      </c>
      <c r="E8" s="132">
        <v>13188</v>
      </c>
      <c r="F8" s="132">
        <v>13304.534929662999</v>
      </c>
      <c r="G8" s="132">
        <v>14480.018395565001</v>
      </c>
      <c r="H8" s="132">
        <v>14831</v>
      </c>
      <c r="I8" s="138">
        <v>10108</v>
      </c>
    </row>
    <row r="9" spans="1:9" ht="36" customHeight="1">
      <c r="A9" s="19" t="s">
        <v>130</v>
      </c>
      <c r="B9" s="132">
        <v>11560</v>
      </c>
      <c r="C9" s="132">
        <v>12047.003245685801</v>
      </c>
      <c r="D9" s="132">
        <v>9070</v>
      </c>
      <c r="E9" s="132">
        <v>8646</v>
      </c>
      <c r="F9" s="132">
        <v>9623.6638225878305</v>
      </c>
      <c r="G9" s="132">
        <v>9846.1234357733993</v>
      </c>
      <c r="H9" s="132">
        <v>10986</v>
      </c>
      <c r="I9" s="138">
        <v>6058</v>
      </c>
    </row>
    <row r="10" spans="1:9" ht="36" customHeight="1">
      <c r="A10" s="19" t="s">
        <v>131</v>
      </c>
      <c r="B10" s="132">
        <v>9783</v>
      </c>
      <c r="C10" s="132">
        <v>11582.093462749999</v>
      </c>
      <c r="D10" s="132">
        <v>11552</v>
      </c>
      <c r="E10" s="132">
        <v>12268</v>
      </c>
      <c r="F10" s="132">
        <v>12624.984812844001</v>
      </c>
      <c r="G10" s="132">
        <v>13122.604163489101</v>
      </c>
      <c r="H10" s="132">
        <v>13979</v>
      </c>
      <c r="I10" s="138">
        <v>7275</v>
      </c>
    </row>
    <row r="11" spans="1:9" ht="36" customHeight="1">
      <c r="A11" s="19" t="s">
        <v>132</v>
      </c>
      <c r="B11" s="132">
        <v>7688</v>
      </c>
      <c r="C11" s="132">
        <v>8554.9305060897896</v>
      </c>
      <c r="D11" s="132">
        <v>9984</v>
      </c>
      <c r="E11" s="132">
        <v>10130</v>
      </c>
      <c r="F11" s="132">
        <v>10822.3205520833</v>
      </c>
      <c r="G11" s="132">
        <v>12802.118906088601</v>
      </c>
      <c r="H11" s="132">
        <v>13303</v>
      </c>
      <c r="I11" s="138">
        <v>7918</v>
      </c>
    </row>
    <row r="12" spans="1:9" ht="36" customHeight="1">
      <c r="A12" s="19" t="s">
        <v>133</v>
      </c>
      <c r="B12" s="132">
        <v>9099</v>
      </c>
      <c r="C12" s="132">
        <v>13026.9099044595</v>
      </c>
      <c r="D12" s="132">
        <v>14398</v>
      </c>
      <c r="E12" s="132">
        <v>14168</v>
      </c>
      <c r="F12" s="132">
        <v>16491.339144199999</v>
      </c>
      <c r="G12" s="132">
        <v>18111.356576317201</v>
      </c>
      <c r="H12" s="132">
        <v>18498</v>
      </c>
      <c r="I12" s="138">
        <v>9905</v>
      </c>
    </row>
    <row r="13" spans="1:9" ht="36" customHeight="1">
      <c r="A13" s="19" t="s">
        <v>134</v>
      </c>
      <c r="B13" s="132">
        <v>6319</v>
      </c>
      <c r="C13" s="132">
        <v>7858.4486508399596</v>
      </c>
      <c r="D13" s="132">
        <v>9341</v>
      </c>
      <c r="E13" s="132">
        <v>12565</v>
      </c>
      <c r="F13" s="132">
        <v>12642.6432832667</v>
      </c>
      <c r="G13" s="132">
        <v>14450.4911905341</v>
      </c>
      <c r="H13" s="132">
        <v>15411</v>
      </c>
      <c r="I13" s="138">
        <v>8929</v>
      </c>
    </row>
    <row r="14" spans="1:9" ht="36" customHeight="1">
      <c r="A14" s="19" t="s">
        <v>135</v>
      </c>
      <c r="B14" s="132">
        <v>13997</v>
      </c>
      <c r="C14" s="132">
        <v>14595.890852655701</v>
      </c>
      <c r="D14" s="132">
        <v>15966</v>
      </c>
      <c r="E14" s="132">
        <v>16783</v>
      </c>
      <c r="F14" s="132">
        <v>20109.710067147498</v>
      </c>
      <c r="G14" s="132">
        <v>17553.161205881799</v>
      </c>
      <c r="H14" s="132">
        <v>21070</v>
      </c>
      <c r="I14" s="138">
        <v>13173</v>
      </c>
    </row>
    <row r="15" spans="1:9" ht="36" customHeight="1">
      <c r="A15" s="19" t="s">
        <v>136</v>
      </c>
      <c r="B15" s="132">
        <v>1057</v>
      </c>
      <c r="C15" s="132">
        <v>923.04250063859604</v>
      </c>
      <c r="D15" s="132">
        <v>1410</v>
      </c>
      <c r="E15" s="132">
        <v>1410</v>
      </c>
      <c r="F15" s="132">
        <v>1413.61053340025</v>
      </c>
      <c r="G15" s="132">
        <v>2155.5079034032001</v>
      </c>
      <c r="H15" s="132">
        <v>2088</v>
      </c>
      <c r="I15" s="138">
        <v>1193</v>
      </c>
    </row>
    <row r="16" spans="1:9" ht="36" customHeight="1">
      <c r="A16" s="19" t="s">
        <v>137</v>
      </c>
      <c r="B16" s="132">
        <v>21089</v>
      </c>
      <c r="C16" s="132">
        <v>21800.209369843</v>
      </c>
      <c r="D16" s="132">
        <v>22063</v>
      </c>
      <c r="E16" s="132">
        <v>24124</v>
      </c>
      <c r="F16" s="132">
        <v>25491.161049859998</v>
      </c>
      <c r="G16" s="132">
        <v>30179.047204083101</v>
      </c>
      <c r="H16" s="132">
        <v>33589</v>
      </c>
      <c r="I16" s="138">
        <v>19715</v>
      </c>
    </row>
    <row r="17" spans="1:9" ht="36" customHeight="1">
      <c r="A17" s="19" t="s">
        <v>138</v>
      </c>
      <c r="B17" s="132">
        <v>9593</v>
      </c>
      <c r="C17" s="132">
        <v>9498.5780406040794</v>
      </c>
      <c r="D17" s="132">
        <v>11483</v>
      </c>
      <c r="E17" s="132">
        <v>12010</v>
      </c>
      <c r="F17" s="132">
        <v>12979.3763672308</v>
      </c>
      <c r="G17" s="132">
        <v>13742.366364265201</v>
      </c>
      <c r="H17" s="132">
        <v>14158</v>
      </c>
      <c r="I17" s="138">
        <v>7420</v>
      </c>
    </row>
    <row r="18" spans="1:9" ht="36" customHeight="1">
      <c r="A18" s="19" t="s">
        <v>139</v>
      </c>
      <c r="B18" s="132">
        <v>15783</v>
      </c>
      <c r="C18" s="132">
        <v>16220.0156366545</v>
      </c>
      <c r="D18" s="132">
        <v>15722</v>
      </c>
      <c r="E18" s="133">
        <v>16518</v>
      </c>
      <c r="F18" s="133">
        <v>17791.7126417</v>
      </c>
      <c r="G18" s="133">
        <v>20359.881090789801</v>
      </c>
      <c r="H18" s="133">
        <v>22035</v>
      </c>
      <c r="I18" s="139">
        <v>10337</v>
      </c>
    </row>
    <row r="19" spans="1:9" ht="36" customHeight="1">
      <c r="A19" s="19" t="s">
        <v>140</v>
      </c>
      <c r="B19" s="132">
        <v>12271</v>
      </c>
      <c r="C19" s="132">
        <v>13608.1883910793</v>
      </c>
      <c r="D19" s="132">
        <v>15355</v>
      </c>
      <c r="E19" s="133">
        <v>16282</v>
      </c>
      <c r="F19" s="133">
        <v>17670.347446291598</v>
      </c>
      <c r="G19" s="133">
        <v>19380.230199059901</v>
      </c>
      <c r="H19" s="133">
        <v>19793</v>
      </c>
      <c r="I19" s="139">
        <v>9393</v>
      </c>
    </row>
    <row r="20" spans="1:9" ht="36" customHeight="1">
      <c r="A20" s="19" t="s">
        <v>141</v>
      </c>
      <c r="B20" s="132">
        <v>14440</v>
      </c>
      <c r="C20" s="132">
        <v>15419.4672122302</v>
      </c>
      <c r="D20" s="132">
        <v>15080</v>
      </c>
      <c r="E20" s="133">
        <v>16784</v>
      </c>
      <c r="F20" s="133">
        <v>19049.442477575201</v>
      </c>
      <c r="G20" s="133">
        <v>19165.497171370898</v>
      </c>
      <c r="H20" s="133">
        <v>22633</v>
      </c>
      <c r="I20" s="139">
        <v>12435</v>
      </c>
    </row>
    <row r="21" spans="1:9" ht="36" customHeight="1">
      <c r="A21" s="19" t="s">
        <v>142</v>
      </c>
      <c r="B21" s="132">
        <v>253</v>
      </c>
      <c r="C21" s="132">
        <v>308.27604122300198</v>
      </c>
      <c r="D21" s="132">
        <v>310</v>
      </c>
      <c r="E21" s="133">
        <v>354</v>
      </c>
      <c r="F21" s="133">
        <v>381.00476774800001</v>
      </c>
      <c r="G21" s="133">
        <v>544.93202206699095</v>
      </c>
      <c r="H21" s="133">
        <v>524</v>
      </c>
      <c r="I21" s="139">
        <v>107</v>
      </c>
    </row>
    <row r="22" spans="1:9" ht="36" customHeight="1">
      <c r="A22" s="131" t="s">
        <v>143</v>
      </c>
      <c r="B22" s="132">
        <v>876</v>
      </c>
      <c r="C22" s="132">
        <v>829.56777814993995</v>
      </c>
      <c r="D22" s="132">
        <v>1188</v>
      </c>
      <c r="E22" s="133">
        <v>1816</v>
      </c>
      <c r="F22" s="133">
        <v>1871.85768356933</v>
      </c>
      <c r="G22" s="133">
        <v>1891.90699333668</v>
      </c>
      <c r="H22" s="133">
        <v>1949</v>
      </c>
      <c r="I22" s="139">
        <v>451</v>
      </c>
    </row>
    <row r="23" spans="1:9" ht="36" customHeight="1">
      <c r="A23" s="134" t="s">
        <v>144</v>
      </c>
      <c r="B23" s="135">
        <v>152874</v>
      </c>
      <c r="C23" s="135">
        <v>169282.0298487001</v>
      </c>
      <c r="D23" s="135">
        <v>176936</v>
      </c>
      <c r="E23" s="135">
        <v>189253</v>
      </c>
      <c r="F23" s="135">
        <v>205408.34931361533</v>
      </c>
      <c r="G23" s="135">
        <v>221272.4807339999</v>
      </c>
      <c r="H23" s="135">
        <v>239121</v>
      </c>
      <c r="I23" s="135">
        <v>131660</v>
      </c>
    </row>
    <row r="24" spans="1:9">
      <c r="I24" s="140"/>
    </row>
    <row r="25" spans="1:9">
      <c r="G25" s="136"/>
      <c r="H25" s="136"/>
    </row>
  </sheetData>
  <sheetProtection password="DD6C" sheet="1" objects="1" scenarios="1"/>
  <mergeCells count="4">
    <mergeCell ref="A1:I1"/>
    <mergeCell ref="A2:I2"/>
    <mergeCell ref="B4:I4"/>
    <mergeCell ref="A4:A5"/>
  </mergeCells>
  <printOptions horizontalCentered="1"/>
  <pageMargins left="0.50972222222222197" right="0.34930555555555598" top="0.75" bottom="0.75" header="0.30972222222222201" footer="0.30972222222222201"/>
  <pageSetup paperSize="9" scale="91" orientation="portrait" r:id="rId1"/>
  <headerFooter>
    <oddFooter>&amp;C&amp;"Century Gothic"&amp;10 34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7"/>
  <sheetViews>
    <sheetView showGridLines="0" view="pageBreakPreview" topLeftCell="C1" zoomScaleNormal="90" zoomScaleSheetLayoutView="100" workbookViewId="0">
      <selection activeCell="C15" sqref="A1:XFD1048576"/>
    </sheetView>
  </sheetViews>
  <sheetFormatPr defaultColWidth="9.140625" defaultRowHeight="16.5"/>
  <cols>
    <col min="1" max="1" width="5.42578125" style="99" customWidth="1"/>
    <col min="2" max="2" width="2.140625" style="100" customWidth="1"/>
    <col min="3" max="3" width="15.7109375" style="101" customWidth="1"/>
    <col min="4" max="15" width="8.7109375" style="101" customWidth="1"/>
    <col min="16" max="16" width="10" style="101" customWidth="1"/>
    <col min="17" max="20" width="8.7109375" style="101" customWidth="1"/>
    <col min="21" max="16384" width="9.140625" style="100"/>
  </cols>
  <sheetData>
    <row r="1" spans="1:20" ht="15" customHeight="1">
      <c r="B1" s="99"/>
      <c r="C1" s="389" t="s">
        <v>145</v>
      </c>
      <c r="D1" s="389"/>
      <c r="E1" s="389"/>
      <c r="F1" s="389"/>
      <c r="G1" s="389"/>
      <c r="H1" s="389"/>
      <c r="I1" s="389"/>
      <c r="J1" s="389"/>
      <c r="K1" s="389"/>
      <c r="L1" s="389"/>
      <c r="M1" s="389"/>
      <c r="N1" s="389"/>
      <c r="O1" s="389"/>
      <c r="P1" s="389"/>
      <c r="Q1" s="389"/>
      <c r="R1" s="389"/>
      <c r="S1" s="389"/>
      <c r="T1" s="389"/>
    </row>
    <row r="2" spans="1:20" ht="15" customHeight="1">
      <c r="C2" s="390" t="s">
        <v>146</v>
      </c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0"/>
    </row>
    <row r="3" spans="1:20" ht="15" customHeight="1"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102"/>
      <c r="S3" s="102"/>
      <c r="T3" s="102"/>
    </row>
    <row r="4" spans="1:20" ht="22.5" customHeight="1">
      <c r="A4" s="397">
        <v>35</v>
      </c>
      <c r="B4" s="103"/>
      <c r="C4" s="391" t="s">
        <v>22</v>
      </c>
      <c r="D4" s="392"/>
      <c r="E4" s="392"/>
      <c r="F4" s="392"/>
      <c r="G4" s="392"/>
      <c r="H4" s="392"/>
      <c r="I4" s="392"/>
      <c r="J4" s="392"/>
      <c r="K4" s="392"/>
      <c r="L4" s="392"/>
      <c r="M4" s="392"/>
      <c r="N4" s="392"/>
      <c r="O4" s="392"/>
      <c r="P4" s="392"/>
      <c r="Q4" s="392"/>
      <c r="R4" s="392"/>
      <c r="S4" s="392"/>
      <c r="T4" s="393"/>
    </row>
    <row r="5" spans="1:20" ht="30" customHeight="1">
      <c r="A5" s="397"/>
      <c r="B5" s="103"/>
      <c r="C5" s="399" t="s">
        <v>147</v>
      </c>
      <c r="D5" s="394" t="s">
        <v>148</v>
      </c>
      <c r="E5" s="395"/>
      <c r="F5" s="395"/>
      <c r="G5" s="395"/>
      <c r="H5" s="395"/>
      <c r="I5" s="395"/>
      <c r="J5" s="395"/>
      <c r="K5" s="395"/>
      <c r="L5" s="395"/>
      <c r="M5" s="395"/>
      <c r="N5" s="395"/>
      <c r="O5" s="395"/>
      <c r="P5" s="395"/>
      <c r="Q5" s="395"/>
      <c r="R5" s="395"/>
      <c r="S5" s="395"/>
      <c r="T5" s="396"/>
    </row>
    <row r="6" spans="1:20" ht="6" customHeight="1">
      <c r="A6" s="397"/>
      <c r="B6" s="103"/>
      <c r="C6" s="400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19"/>
    </row>
    <row r="7" spans="1:20" s="97" customFormat="1" ht="82.5" customHeight="1">
      <c r="A7" s="397"/>
      <c r="B7" s="103"/>
      <c r="C7" s="401"/>
      <c r="D7" s="105" t="s">
        <v>149</v>
      </c>
      <c r="E7" s="106" t="s">
        <v>128</v>
      </c>
      <c r="F7" s="106" t="s">
        <v>129</v>
      </c>
      <c r="G7" s="106" t="s">
        <v>130</v>
      </c>
      <c r="H7" s="106" t="s">
        <v>131</v>
      </c>
      <c r="I7" s="106" t="s">
        <v>132</v>
      </c>
      <c r="J7" s="106" t="s">
        <v>133</v>
      </c>
      <c r="K7" s="106" t="s">
        <v>134</v>
      </c>
      <c r="L7" s="106" t="s">
        <v>135</v>
      </c>
      <c r="M7" s="106" t="s">
        <v>136</v>
      </c>
      <c r="N7" s="106" t="s">
        <v>137</v>
      </c>
      <c r="O7" s="106" t="s">
        <v>138</v>
      </c>
      <c r="P7" s="106" t="s">
        <v>139</v>
      </c>
      <c r="Q7" s="106" t="s">
        <v>140</v>
      </c>
      <c r="R7" s="106" t="s">
        <v>141</v>
      </c>
      <c r="S7" s="106" t="s">
        <v>142</v>
      </c>
      <c r="T7" s="120" t="s">
        <v>143</v>
      </c>
    </row>
    <row r="8" spans="1:20" s="97" customFormat="1" ht="27" customHeight="1">
      <c r="A8" s="397"/>
      <c r="B8" s="103"/>
      <c r="C8" s="107" t="s">
        <v>149</v>
      </c>
      <c r="D8" s="108">
        <v>46258.716</v>
      </c>
      <c r="E8" s="108">
        <v>3988.6080000000006</v>
      </c>
      <c r="F8" s="108">
        <v>3486.9450000000002</v>
      </c>
      <c r="G8" s="108">
        <v>3318.2739999999999</v>
      </c>
      <c r="H8" s="108">
        <v>2859.4870000000001</v>
      </c>
      <c r="I8" s="108">
        <v>2848.21</v>
      </c>
      <c r="J8" s="108">
        <v>5214.5419999999995</v>
      </c>
      <c r="K8" s="108">
        <v>2749.556</v>
      </c>
      <c r="L8" s="108">
        <v>4890.6469999999999</v>
      </c>
      <c r="M8" s="108">
        <v>410.88600000000002</v>
      </c>
      <c r="N8" s="108">
        <v>4693.174</v>
      </c>
      <c r="O8" s="108">
        <v>2670.0519999999997</v>
      </c>
      <c r="P8" s="108">
        <v>2456.4211604000002</v>
      </c>
      <c r="Q8" s="108">
        <v>2627.0459486999998</v>
      </c>
      <c r="R8" s="108">
        <v>3684.4949999999999</v>
      </c>
      <c r="S8" s="108">
        <v>76.820890899999995</v>
      </c>
      <c r="T8" s="121">
        <v>283.55199999999996</v>
      </c>
    </row>
    <row r="9" spans="1:20" s="98" customFormat="1" ht="27" customHeight="1">
      <c r="A9" s="397"/>
      <c r="B9" s="103"/>
      <c r="C9" s="109" t="s">
        <v>128</v>
      </c>
      <c r="D9" s="110">
        <v>3858.2160000000008</v>
      </c>
      <c r="E9" s="111">
        <v>1888.9280000000001</v>
      </c>
      <c r="F9" s="111">
        <v>35.725000000000001</v>
      </c>
      <c r="G9" s="111">
        <v>97.664000000000001</v>
      </c>
      <c r="H9" s="111">
        <v>293.96300000000002</v>
      </c>
      <c r="I9" s="111">
        <v>287.99799999999999</v>
      </c>
      <c r="J9" s="111">
        <v>227.56700000000001</v>
      </c>
      <c r="K9" s="111">
        <v>25.952000000000002</v>
      </c>
      <c r="L9" s="111">
        <v>296.11399999999998</v>
      </c>
      <c r="M9" s="111">
        <v>2.0990000000000002</v>
      </c>
      <c r="N9" s="111">
        <v>246.262</v>
      </c>
      <c r="O9" s="111">
        <v>100.63</v>
      </c>
      <c r="P9" s="111">
        <v>11.884</v>
      </c>
      <c r="Q9" s="111">
        <v>11.118</v>
      </c>
      <c r="R9" s="111">
        <v>324.56799999999998</v>
      </c>
      <c r="S9" s="111">
        <v>0</v>
      </c>
      <c r="T9" s="122">
        <v>7.7439999999999998</v>
      </c>
    </row>
    <row r="10" spans="1:20" s="98" customFormat="1" ht="27" customHeight="1">
      <c r="A10" s="397"/>
      <c r="B10" s="103"/>
      <c r="C10" s="109" t="s">
        <v>129</v>
      </c>
      <c r="D10" s="110">
        <v>2530.2299999999991</v>
      </c>
      <c r="E10" s="111">
        <v>78.108999999999995</v>
      </c>
      <c r="F10" s="111">
        <v>1209.4680000000001</v>
      </c>
      <c r="G10" s="111">
        <v>47.307000000000002</v>
      </c>
      <c r="H10" s="111">
        <v>68.119</v>
      </c>
      <c r="I10" s="111">
        <v>26.849</v>
      </c>
      <c r="J10" s="111">
        <v>187.328</v>
      </c>
      <c r="K10" s="111">
        <v>236.53700000000001</v>
      </c>
      <c r="L10" s="111">
        <v>152.17400000000001</v>
      </c>
      <c r="M10" s="111">
        <v>96.093999999999994</v>
      </c>
      <c r="N10" s="111">
        <v>141.84100000000001</v>
      </c>
      <c r="O10" s="111">
        <v>38.561999999999998</v>
      </c>
      <c r="P10" s="111">
        <v>13.603999999999999</v>
      </c>
      <c r="Q10" s="111">
        <v>54.316000000000003</v>
      </c>
      <c r="R10" s="111">
        <v>174.98400000000001</v>
      </c>
      <c r="S10" s="111">
        <v>0</v>
      </c>
      <c r="T10" s="122">
        <v>4.9379999999999997</v>
      </c>
    </row>
    <row r="11" spans="1:20" s="98" customFormat="1" ht="27" customHeight="1">
      <c r="A11" s="397"/>
      <c r="B11" s="103"/>
      <c r="C11" s="109" t="s">
        <v>130</v>
      </c>
      <c r="D11" s="110">
        <v>2408.6270000000004</v>
      </c>
      <c r="E11" s="111">
        <v>47.863999999999997</v>
      </c>
      <c r="F11" s="111">
        <v>10.747</v>
      </c>
      <c r="G11" s="111">
        <v>1267.4870000000001</v>
      </c>
      <c r="H11" s="111">
        <v>23.911000000000001</v>
      </c>
      <c r="I11" s="111">
        <v>20.503</v>
      </c>
      <c r="J11" s="111">
        <v>255.28299999999999</v>
      </c>
      <c r="K11" s="111">
        <v>61.503</v>
      </c>
      <c r="L11" s="111">
        <v>66.116</v>
      </c>
      <c r="M11" s="111">
        <v>4.101</v>
      </c>
      <c r="N11" s="111">
        <v>189.477</v>
      </c>
      <c r="O11" s="111">
        <v>192.68299999999999</v>
      </c>
      <c r="P11" s="111">
        <v>25.454999999999998</v>
      </c>
      <c r="Q11" s="111">
        <v>5.7240000000000002</v>
      </c>
      <c r="R11" s="111">
        <v>220.114</v>
      </c>
      <c r="S11" s="111">
        <v>1.82</v>
      </c>
      <c r="T11" s="122">
        <v>15.839</v>
      </c>
    </row>
    <row r="12" spans="1:20" s="98" customFormat="1" ht="27" customHeight="1">
      <c r="A12" s="397"/>
      <c r="B12" s="103"/>
      <c r="C12" s="109" t="s">
        <v>131</v>
      </c>
      <c r="D12" s="110">
        <v>1758.8020000000001</v>
      </c>
      <c r="E12" s="111">
        <v>273.74700000000001</v>
      </c>
      <c r="F12" s="111">
        <v>70.995999999999995</v>
      </c>
      <c r="G12" s="111">
        <v>21.686</v>
      </c>
      <c r="H12" s="111">
        <v>535.86900000000003</v>
      </c>
      <c r="I12" s="111">
        <v>205.07900000000001</v>
      </c>
      <c r="J12" s="111">
        <v>153.34299999999999</v>
      </c>
      <c r="K12" s="111">
        <v>17.367000000000001</v>
      </c>
      <c r="L12" s="111">
        <v>88.123999999999995</v>
      </c>
      <c r="M12" s="111">
        <v>14.723000000000001</v>
      </c>
      <c r="N12" s="111">
        <v>129.43100000000001</v>
      </c>
      <c r="O12" s="111">
        <v>32.963999999999999</v>
      </c>
      <c r="P12" s="111">
        <v>13.967000000000001</v>
      </c>
      <c r="Q12" s="111">
        <v>16.617000000000001</v>
      </c>
      <c r="R12" s="111">
        <v>177.02799999999999</v>
      </c>
      <c r="S12" s="111">
        <v>0</v>
      </c>
      <c r="T12" s="122">
        <v>7.8609999999999998</v>
      </c>
    </row>
    <row r="13" spans="1:20" s="98" customFormat="1" ht="27" customHeight="1">
      <c r="A13" s="397"/>
      <c r="B13" s="103"/>
      <c r="C13" s="109" t="s">
        <v>132</v>
      </c>
      <c r="D13" s="110">
        <v>2918.348</v>
      </c>
      <c r="E13" s="111">
        <v>338.34199999999998</v>
      </c>
      <c r="F13" s="111">
        <v>129.125</v>
      </c>
      <c r="G13" s="111">
        <v>68.162000000000006</v>
      </c>
      <c r="H13" s="111">
        <v>273.76799999999997</v>
      </c>
      <c r="I13" s="111">
        <v>650.35699999999997</v>
      </c>
      <c r="J13" s="111">
        <v>242.977</v>
      </c>
      <c r="K13" s="111">
        <v>123.34399999999999</v>
      </c>
      <c r="L13" s="111">
        <v>281.97399999999999</v>
      </c>
      <c r="M13" s="111">
        <v>80.718000000000004</v>
      </c>
      <c r="N13" s="111">
        <v>243.39099999999999</v>
      </c>
      <c r="O13" s="111">
        <v>130.73699999999999</v>
      </c>
      <c r="P13" s="111">
        <v>8.8030000000000008</v>
      </c>
      <c r="Q13" s="111">
        <v>12.579000000000001</v>
      </c>
      <c r="R13" s="111">
        <v>311.06400000000002</v>
      </c>
      <c r="S13" s="111">
        <v>0</v>
      </c>
      <c r="T13" s="122">
        <v>23.007000000000001</v>
      </c>
    </row>
    <row r="14" spans="1:20" s="98" customFormat="1" ht="27" customHeight="1">
      <c r="A14" s="397"/>
      <c r="B14" s="103"/>
      <c r="C14" s="109" t="s">
        <v>133</v>
      </c>
      <c r="D14" s="110">
        <v>3644.1190000000001</v>
      </c>
      <c r="E14" s="111">
        <v>114.94499999999999</v>
      </c>
      <c r="F14" s="111">
        <v>103.229</v>
      </c>
      <c r="G14" s="111">
        <v>284.572</v>
      </c>
      <c r="H14" s="111">
        <v>121.544</v>
      </c>
      <c r="I14" s="111">
        <v>83.043999999999997</v>
      </c>
      <c r="J14" s="111">
        <v>1682.818</v>
      </c>
      <c r="K14" s="111">
        <v>52.308</v>
      </c>
      <c r="L14" s="111">
        <v>256.45600000000002</v>
      </c>
      <c r="M14" s="111">
        <v>11.127000000000001</v>
      </c>
      <c r="N14" s="111">
        <v>133.21199999999999</v>
      </c>
      <c r="O14" s="111">
        <v>429.34100000000001</v>
      </c>
      <c r="P14" s="111">
        <v>6.1760000000000002</v>
      </c>
      <c r="Q14" s="111">
        <v>1.282</v>
      </c>
      <c r="R14" s="111">
        <v>354.39</v>
      </c>
      <c r="S14" s="111">
        <v>0</v>
      </c>
      <c r="T14" s="122">
        <v>9.6750000000000007</v>
      </c>
    </row>
    <row r="15" spans="1:20" s="98" customFormat="1" ht="27" customHeight="1">
      <c r="A15" s="397"/>
      <c r="B15" s="103"/>
      <c r="C15" s="109" t="s">
        <v>134</v>
      </c>
      <c r="D15" s="110">
        <v>2118.6489999999999</v>
      </c>
      <c r="E15" s="111">
        <v>17.216000000000001</v>
      </c>
      <c r="F15" s="111">
        <v>488.32100000000003</v>
      </c>
      <c r="G15" s="111">
        <v>50.985999999999997</v>
      </c>
      <c r="H15" s="111">
        <v>9.8659999999999997</v>
      </c>
      <c r="I15" s="111">
        <v>17.829000000000001</v>
      </c>
      <c r="J15" s="111">
        <v>58.351999999999997</v>
      </c>
      <c r="K15" s="111">
        <v>747.09</v>
      </c>
      <c r="L15" s="111">
        <v>319.09899999999999</v>
      </c>
      <c r="M15" s="111">
        <v>73.245000000000005</v>
      </c>
      <c r="N15" s="111">
        <v>217.245</v>
      </c>
      <c r="O15" s="111">
        <v>27.853999999999999</v>
      </c>
      <c r="P15" s="111">
        <v>24.416</v>
      </c>
      <c r="Q15" s="111">
        <v>8.8759999999999994</v>
      </c>
      <c r="R15" s="111">
        <v>54.356999999999999</v>
      </c>
      <c r="S15" s="111">
        <v>0</v>
      </c>
      <c r="T15" s="122">
        <v>3.8969999999999998</v>
      </c>
    </row>
    <row r="16" spans="1:20" s="98" customFormat="1" ht="27" customHeight="1">
      <c r="A16" s="397"/>
      <c r="B16" s="103"/>
      <c r="C16" s="109" t="s">
        <v>135</v>
      </c>
      <c r="D16" s="110">
        <v>4039.6079999999997</v>
      </c>
      <c r="E16" s="111">
        <v>17.422000000000001</v>
      </c>
      <c r="F16" s="111">
        <v>266.28800000000001</v>
      </c>
      <c r="G16" s="111">
        <v>100.31699999999999</v>
      </c>
      <c r="H16" s="111">
        <v>146.73400000000001</v>
      </c>
      <c r="I16" s="111">
        <v>96.567999999999998</v>
      </c>
      <c r="J16" s="111">
        <v>314.33</v>
      </c>
      <c r="K16" s="111">
        <v>491.01499999999999</v>
      </c>
      <c r="L16" s="111">
        <v>1370.125</v>
      </c>
      <c r="M16" s="111">
        <v>74.790000000000006</v>
      </c>
      <c r="N16" s="111">
        <v>438.86399999999998</v>
      </c>
      <c r="O16" s="111">
        <v>38.118000000000002</v>
      </c>
      <c r="P16" s="111">
        <v>159.351</v>
      </c>
      <c r="Q16" s="111">
        <v>8.343</v>
      </c>
      <c r="R16" s="111">
        <v>383.89699999999999</v>
      </c>
      <c r="S16" s="111">
        <v>0</v>
      </c>
      <c r="T16" s="122">
        <v>133.446</v>
      </c>
    </row>
    <row r="17" spans="1:20" s="98" customFormat="1" ht="27" customHeight="1">
      <c r="A17" s="397"/>
      <c r="B17" s="103"/>
      <c r="C17" s="109" t="s">
        <v>136</v>
      </c>
      <c r="D17" s="110">
        <v>243.34800000000004</v>
      </c>
      <c r="E17" s="111">
        <v>9.7059999999999995</v>
      </c>
      <c r="F17" s="111">
        <v>76.278000000000006</v>
      </c>
      <c r="G17" s="111">
        <v>12.018000000000001</v>
      </c>
      <c r="H17" s="111">
        <v>3.9369999999999998</v>
      </c>
      <c r="I17" s="111">
        <v>26.334</v>
      </c>
      <c r="J17" s="111">
        <v>4.9749999999999996</v>
      </c>
      <c r="K17" s="111">
        <v>31.861999999999998</v>
      </c>
      <c r="L17" s="111">
        <v>17.282</v>
      </c>
      <c r="M17" s="111">
        <v>8.0440000000000005</v>
      </c>
      <c r="N17" s="111">
        <v>22.672999999999998</v>
      </c>
      <c r="O17" s="111">
        <v>8.0180000000000007</v>
      </c>
      <c r="P17" s="111">
        <v>1.526</v>
      </c>
      <c r="Q17" s="111">
        <v>0.84199999999999997</v>
      </c>
      <c r="R17" s="111">
        <v>18.936</v>
      </c>
      <c r="S17" s="111">
        <v>0</v>
      </c>
      <c r="T17" s="122">
        <v>0.91700000000000004</v>
      </c>
    </row>
    <row r="18" spans="1:20" s="98" customFormat="1" ht="27" customHeight="1">
      <c r="A18" s="397"/>
      <c r="B18" s="103"/>
      <c r="C18" s="109" t="s">
        <v>137</v>
      </c>
      <c r="D18" s="110">
        <v>10480.254999999997</v>
      </c>
      <c r="E18" s="111">
        <v>654.97</v>
      </c>
      <c r="F18" s="111">
        <v>710.18899999999996</v>
      </c>
      <c r="G18" s="111">
        <v>581.06600000000003</v>
      </c>
      <c r="H18" s="111">
        <v>1062.7429999999999</v>
      </c>
      <c r="I18" s="111">
        <v>1132.492</v>
      </c>
      <c r="J18" s="111">
        <v>1316.972</v>
      </c>
      <c r="K18" s="111">
        <v>773.85500000000002</v>
      </c>
      <c r="L18" s="111">
        <v>1332.508</v>
      </c>
      <c r="M18" s="111">
        <v>33.597000000000001</v>
      </c>
      <c r="N18" s="111">
        <v>1419.1759999999999</v>
      </c>
      <c r="O18" s="111">
        <v>475.14299999999997</v>
      </c>
      <c r="P18" s="111">
        <v>135.90700000000001</v>
      </c>
      <c r="Q18" s="111">
        <v>105.15900000000001</v>
      </c>
      <c r="R18" s="111">
        <v>739.971</v>
      </c>
      <c r="S18" s="111">
        <v>3.2589999999999999</v>
      </c>
      <c r="T18" s="122">
        <v>3.2480000000000002</v>
      </c>
    </row>
    <row r="19" spans="1:20" s="98" customFormat="1" ht="27" customHeight="1">
      <c r="A19" s="397"/>
      <c r="B19" s="103"/>
      <c r="C19" s="109" t="s">
        <v>138</v>
      </c>
      <c r="D19" s="110">
        <v>2374.8579999999997</v>
      </c>
      <c r="E19" s="111">
        <v>61.752000000000002</v>
      </c>
      <c r="F19" s="111">
        <v>29.937000000000001</v>
      </c>
      <c r="G19" s="111">
        <v>421.89299999999997</v>
      </c>
      <c r="H19" s="111">
        <v>22.741</v>
      </c>
      <c r="I19" s="111">
        <v>16.963999999999999</v>
      </c>
      <c r="J19" s="111">
        <v>390.59699999999998</v>
      </c>
      <c r="K19" s="111">
        <v>28.216000000000001</v>
      </c>
      <c r="L19" s="111">
        <v>26.327000000000002</v>
      </c>
      <c r="M19" s="111">
        <v>6.6059999999999999</v>
      </c>
      <c r="N19" s="111">
        <v>116.029</v>
      </c>
      <c r="O19" s="111">
        <v>1102.307</v>
      </c>
      <c r="P19" s="111">
        <v>5.9130000000000003</v>
      </c>
      <c r="Q19" s="111">
        <v>5.2169999999999996</v>
      </c>
      <c r="R19" s="111">
        <v>125.649</v>
      </c>
      <c r="S19" s="111">
        <v>0</v>
      </c>
      <c r="T19" s="122">
        <v>14.71</v>
      </c>
    </row>
    <row r="20" spans="1:20" s="98" customFormat="1" ht="26.25" customHeight="1">
      <c r="A20" s="397"/>
      <c r="B20" s="103"/>
      <c r="C20" s="109" t="s">
        <v>139</v>
      </c>
      <c r="D20" s="110">
        <v>2450.2629999999999</v>
      </c>
      <c r="E20" s="111">
        <v>0.63300000000000001</v>
      </c>
      <c r="F20" s="111">
        <v>76.010000000000005</v>
      </c>
      <c r="G20" s="111">
        <v>0</v>
      </c>
      <c r="H20" s="111">
        <v>0</v>
      </c>
      <c r="I20" s="111">
        <v>0</v>
      </c>
      <c r="J20" s="111">
        <v>38.042000000000002</v>
      </c>
      <c r="K20" s="111">
        <v>14.891999999999999</v>
      </c>
      <c r="L20" s="111">
        <v>0</v>
      </c>
      <c r="M20" s="111">
        <v>0</v>
      </c>
      <c r="N20" s="111">
        <v>208.054</v>
      </c>
      <c r="O20" s="111">
        <v>0</v>
      </c>
      <c r="P20" s="111">
        <v>1985.5591603999999</v>
      </c>
      <c r="Q20" s="111">
        <v>34.743000000000002</v>
      </c>
      <c r="R20" s="111">
        <v>57.633000000000003</v>
      </c>
      <c r="S20" s="111">
        <v>34.696839599999997</v>
      </c>
      <c r="T20" s="122">
        <v>0</v>
      </c>
    </row>
    <row r="21" spans="1:20" s="98" customFormat="1" ht="27" customHeight="1">
      <c r="A21" s="397"/>
      <c r="B21" s="103"/>
      <c r="C21" s="109" t="s">
        <v>140</v>
      </c>
      <c r="D21" s="110">
        <v>2666.2480000000005</v>
      </c>
      <c r="E21" s="111">
        <v>7.8079999999999998</v>
      </c>
      <c r="F21" s="111">
        <v>8.9499999999999993</v>
      </c>
      <c r="G21" s="111">
        <v>16.187000000000001</v>
      </c>
      <c r="H21" s="111">
        <v>4.4669999999999996</v>
      </c>
      <c r="I21" s="111">
        <v>0</v>
      </c>
      <c r="J21" s="111">
        <v>2.847</v>
      </c>
      <c r="K21" s="111">
        <v>0</v>
      </c>
      <c r="L21" s="111">
        <v>0</v>
      </c>
      <c r="M21" s="111">
        <v>0</v>
      </c>
      <c r="N21" s="111">
        <v>135.40799999999999</v>
      </c>
      <c r="O21" s="111">
        <v>0</v>
      </c>
      <c r="P21" s="111">
        <v>10.932</v>
      </c>
      <c r="Q21" s="111">
        <v>2345.9649487000001</v>
      </c>
      <c r="R21" s="111">
        <v>79.552000000000007</v>
      </c>
      <c r="S21" s="111">
        <v>27.949051300000001</v>
      </c>
      <c r="T21" s="122">
        <v>26.183</v>
      </c>
    </row>
    <row r="22" spans="1:20" s="98" customFormat="1" ht="27" customHeight="1">
      <c r="A22" s="397"/>
      <c r="B22" s="103"/>
      <c r="C22" s="109" t="s">
        <v>141</v>
      </c>
      <c r="D22" s="110">
        <v>4513.2829999999994</v>
      </c>
      <c r="E22" s="111">
        <v>439.839</v>
      </c>
      <c r="F22" s="111">
        <v>258.87799999999999</v>
      </c>
      <c r="G22" s="111">
        <v>336.923</v>
      </c>
      <c r="H22" s="111">
        <v>264.14600000000002</v>
      </c>
      <c r="I22" s="111">
        <v>271.14400000000001</v>
      </c>
      <c r="J22" s="111">
        <v>299.48099999999999</v>
      </c>
      <c r="K22" s="111">
        <v>130.166</v>
      </c>
      <c r="L22" s="111">
        <v>663.173</v>
      </c>
      <c r="M22" s="111">
        <v>4.1239999999999997</v>
      </c>
      <c r="N22" s="111">
        <v>1035.404</v>
      </c>
      <c r="O22" s="111">
        <v>82.861000000000004</v>
      </c>
      <c r="P22" s="111">
        <v>16.433</v>
      </c>
      <c r="Q22" s="111">
        <v>15.068</v>
      </c>
      <c r="R22" s="111">
        <v>660.86800000000005</v>
      </c>
      <c r="S22" s="111">
        <v>7.1230000000000002</v>
      </c>
      <c r="T22" s="122">
        <v>27.652000000000001</v>
      </c>
    </row>
    <row r="23" spans="1:20" s="98" customFormat="1" ht="27" customHeight="1">
      <c r="A23" s="397"/>
      <c r="B23" s="103"/>
      <c r="C23" s="109" t="s">
        <v>142</v>
      </c>
      <c r="D23" s="110">
        <v>50.545000000000009</v>
      </c>
      <c r="E23" s="111">
        <v>4.7480000000000002</v>
      </c>
      <c r="F23" s="111">
        <v>0</v>
      </c>
      <c r="G23" s="111">
        <v>0</v>
      </c>
      <c r="H23" s="111">
        <v>0</v>
      </c>
      <c r="I23" s="111">
        <v>0</v>
      </c>
      <c r="J23" s="111">
        <v>0</v>
      </c>
      <c r="K23" s="111">
        <v>0</v>
      </c>
      <c r="L23" s="111">
        <v>0</v>
      </c>
      <c r="M23" s="111">
        <v>0</v>
      </c>
      <c r="N23" s="111">
        <v>9.4450000000000003</v>
      </c>
      <c r="O23" s="111">
        <v>0</v>
      </c>
      <c r="P23" s="111">
        <v>33.520000000000003</v>
      </c>
      <c r="Q23" s="111">
        <v>0</v>
      </c>
      <c r="R23" s="111">
        <v>0</v>
      </c>
      <c r="S23" s="111">
        <v>1.1910000000000001</v>
      </c>
      <c r="T23" s="122">
        <v>1.641</v>
      </c>
    </row>
    <row r="24" spans="1:20" s="98" customFormat="1" ht="27" customHeight="1">
      <c r="A24" s="398"/>
      <c r="B24" s="103"/>
      <c r="C24" s="112" t="s">
        <v>143</v>
      </c>
      <c r="D24" s="113">
        <v>203.31700000000004</v>
      </c>
      <c r="E24" s="114">
        <v>32.579000000000001</v>
      </c>
      <c r="F24" s="114">
        <v>12.804</v>
      </c>
      <c r="G24" s="114">
        <v>12.006</v>
      </c>
      <c r="H24" s="114">
        <v>27.678999999999998</v>
      </c>
      <c r="I24" s="114">
        <v>13.048999999999999</v>
      </c>
      <c r="J24" s="114">
        <v>39.630000000000003</v>
      </c>
      <c r="K24" s="114">
        <v>15.449</v>
      </c>
      <c r="L24" s="114">
        <v>21.175000000000001</v>
      </c>
      <c r="M24" s="114">
        <v>1.6180000000000001</v>
      </c>
      <c r="N24" s="114">
        <v>7.2619999999999996</v>
      </c>
      <c r="O24" s="114">
        <v>10.834</v>
      </c>
      <c r="P24" s="114">
        <v>2.9750000000000001</v>
      </c>
      <c r="Q24" s="114">
        <v>1.1970000000000001</v>
      </c>
      <c r="R24" s="114">
        <v>1.484</v>
      </c>
      <c r="S24" s="114">
        <v>0.78200000000000003</v>
      </c>
      <c r="T24" s="123">
        <v>2.794</v>
      </c>
    </row>
    <row r="25" spans="1:20" s="98" customFormat="1" ht="20.100000000000001" customHeight="1">
      <c r="A25" s="115"/>
      <c r="B25" s="115"/>
      <c r="C25" s="116"/>
      <c r="D25" s="116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7"/>
      <c r="R25" s="117"/>
      <c r="S25" s="117"/>
      <c r="T25" s="117"/>
    </row>
    <row r="26" spans="1:20">
      <c r="E26" s="118"/>
      <c r="F26" s="118"/>
      <c r="G26" s="118"/>
      <c r="H26" s="118"/>
      <c r="I26" s="118"/>
      <c r="J26" s="118"/>
      <c r="K26" s="118"/>
      <c r="L26" s="118"/>
      <c r="M26" s="118"/>
      <c r="N26" s="118"/>
      <c r="O26" s="118"/>
      <c r="P26" s="118"/>
      <c r="Q26" s="118"/>
      <c r="R26" s="118"/>
      <c r="S26" s="118"/>
      <c r="T26" s="118"/>
    </row>
    <row r="27" spans="1:20">
      <c r="E27" s="118"/>
      <c r="F27" s="118"/>
      <c r="G27" s="118"/>
      <c r="H27" s="118"/>
      <c r="I27" s="118"/>
      <c r="J27" s="118"/>
      <c r="K27" s="118"/>
      <c r="L27" s="118"/>
      <c r="M27" s="118"/>
      <c r="N27" s="118"/>
      <c r="O27" s="118"/>
      <c r="P27" s="118"/>
      <c r="Q27" s="118"/>
      <c r="R27" s="118"/>
      <c r="S27" s="118"/>
      <c r="T27" s="118"/>
    </row>
  </sheetData>
  <sheetProtection password="DD6C" sheet="1" objects="1" scenarios="1"/>
  <mergeCells count="6">
    <mergeCell ref="C1:T1"/>
    <mergeCell ref="C2:T2"/>
    <mergeCell ref="C4:T4"/>
    <mergeCell ref="D5:T5"/>
    <mergeCell ref="A4:A24"/>
    <mergeCell ref="C5:C7"/>
  </mergeCells>
  <pageMargins left="0.39370078740157499" right="0.49212598425196902" top="0.511811023622047" bottom="0.74803149606299202" header="0.31496062992126" footer="0.31496062992126"/>
  <pageSetup paperSize="9" scale="7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view="pageBreakPreview" zoomScaleSheetLayoutView="100" workbookViewId="0">
      <selection activeCell="C15" sqref="A1:XFD1048576"/>
    </sheetView>
  </sheetViews>
  <sheetFormatPr defaultColWidth="9.140625" defaultRowHeight="16.5"/>
  <cols>
    <col min="1" max="1" width="22.42578125" style="35" customWidth="1"/>
    <col min="2" max="4" width="12.140625" style="35" customWidth="1"/>
    <col min="5" max="5" width="1.42578125" style="35" customWidth="1"/>
    <col min="6" max="8" width="12.140625" style="35" customWidth="1"/>
    <col min="9" max="16384" width="9.140625" style="35"/>
  </cols>
  <sheetData>
    <row r="1" spans="1:8" ht="15" customHeight="1">
      <c r="A1" s="370" t="s">
        <v>150</v>
      </c>
      <c r="B1" s="370"/>
      <c r="C1" s="370"/>
      <c r="D1" s="370"/>
      <c r="E1" s="370"/>
      <c r="F1" s="370"/>
      <c r="G1" s="370"/>
      <c r="H1" s="370"/>
    </row>
    <row r="2" spans="1:8" ht="15" customHeight="1">
      <c r="A2" s="340" t="s">
        <v>151</v>
      </c>
      <c r="B2" s="340"/>
      <c r="C2" s="340"/>
      <c r="D2" s="340"/>
      <c r="E2" s="340"/>
      <c r="F2" s="340"/>
      <c r="G2" s="340"/>
      <c r="H2" s="340"/>
    </row>
    <row r="3" spans="1:8">
      <c r="A3" s="72"/>
      <c r="B3" s="73"/>
      <c r="C3" s="73"/>
      <c r="D3" s="73"/>
      <c r="E3" s="73"/>
      <c r="F3" s="73"/>
      <c r="G3" s="73"/>
      <c r="H3" s="73"/>
    </row>
    <row r="4" spans="1:8">
      <c r="A4" s="328" t="s">
        <v>152</v>
      </c>
      <c r="B4" s="328">
        <v>2019</v>
      </c>
      <c r="C4" s="328"/>
      <c r="D4" s="328"/>
      <c r="E4" s="40"/>
      <c r="F4" s="328">
        <v>2020</v>
      </c>
      <c r="G4" s="328"/>
      <c r="H4" s="328"/>
    </row>
    <row r="5" spans="1:8" ht="30" customHeight="1">
      <c r="A5" s="322"/>
      <c r="B5" s="328" t="s">
        <v>153</v>
      </c>
      <c r="C5" s="328" t="s">
        <v>154</v>
      </c>
      <c r="D5" s="328" t="s">
        <v>155</v>
      </c>
      <c r="E5" s="403"/>
      <c r="F5" s="328" t="s">
        <v>153</v>
      </c>
      <c r="G5" s="328" t="s">
        <v>154</v>
      </c>
      <c r="H5" s="328" t="s">
        <v>155</v>
      </c>
    </row>
    <row r="6" spans="1:8" ht="15" customHeight="1">
      <c r="A6" s="322"/>
      <c r="B6" s="322"/>
      <c r="C6" s="322"/>
      <c r="D6" s="322"/>
      <c r="E6" s="403"/>
      <c r="F6" s="322"/>
      <c r="G6" s="322"/>
      <c r="H6" s="322"/>
    </row>
    <row r="7" spans="1:8" ht="15" customHeight="1">
      <c r="A7" s="329"/>
      <c r="B7" s="329" t="s">
        <v>21</v>
      </c>
      <c r="C7" s="329"/>
      <c r="D7" s="329"/>
      <c r="E7" s="75"/>
      <c r="F7" s="329" t="s">
        <v>21</v>
      </c>
      <c r="G7" s="329"/>
      <c r="H7" s="329"/>
    </row>
    <row r="8" spans="1:8" s="71" customFormat="1" ht="15" customHeight="1">
      <c r="A8" s="44"/>
      <c r="B8" s="44"/>
      <c r="C8" s="44"/>
      <c r="D8" s="44"/>
      <c r="E8" s="76"/>
      <c r="F8" s="44"/>
      <c r="G8" s="44"/>
      <c r="H8" s="44"/>
    </row>
    <row r="9" spans="1:8" ht="22.5" customHeight="1">
      <c r="A9" s="45" t="s">
        <v>156</v>
      </c>
      <c r="B9" s="77">
        <v>99.999999999999972</v>
      </c>
      <c r="C9" s="77">
        <v>99.999999999999943</v>
      </c>
      <c r="D9" s="77">
        <v>100.00000000000004</v>
      </c>
      <c r="E9" s="51"/>
      <c r="F9" s="77">
        <v>99.999999999999972</v>
      </c>
      <c r="G9" s="77">
        <v>100.00000000000001</v>
      </c>
      <c r="H9" s="77">
        <v>99.999999999999957</v>
      </c>
    </row>
    <row r="10" spans="1:8" ht="26.25" customHeight="1">
      <c r="A10" s="78" t="s">
        <v>157</v>
      </c>
      <c r="B10" s="51">
        <v>0.88183617172612405</v>
      </c>
      <c r="C10" s="51">
        <v>5.73311999073053E-2</v>
      </c>
      <c r="D10" s="51">
        <v>2.8092869436023</v>
      </c>
      <c r="E10" s="79"/>
      <c r="F10" s="51">
        <v>1.03236635543941</v>
      </c>
      <c r="G10" s="51">
        <v>4.1749231343061202E-2</v>
      </c>
      <c r="H10" s="51">
        <v>3.0805811252634898</v>
      </c>
    </row>
    <row r="11" spans="1:8" ht="26.25" customHeight="1">
      <c r="A11" s="78" t="s">
        <v>158</v>
      </c>
      <c r="B11" s="51">
        <v>0.60329845376324598</v>
      </c>
      <c r="C11" s="51">
        <v>0.500569172423037</v>
      </c>
      <c r="D11" s="51">
        <v>0.75388167596974198</v>
      </c>
      <c r="E11" s="79"/>
      <c r="F11" s="51">
        <v>0.37016905447646498</v>
      </c>
      <c r="G11" s="51">
        <v>0.40563654793765302</v>
      </c>
      <c r="H11" s="51">
        <v>0.29683593496057598</v>
      </c>
    </row>
    <row r="12" spans="1:8" ht="26.25" customHeight="1">
      <c r="A12" s="78" t="s">
        <v>159</v>
      </c>
      <c r="B12" s="51">
        <v>98.514865374510606</v>
      </c>
      <c r="C12" s="51">
        <v>99.442099627669606</v>
      </c>
      <c r="D12" s="51">
        <v>96.436831380428004</v>
      </c>
      <c r="E12" s="79"/>
      <c r="F12" s="51">
        <v>98.597464590084101</v>
      </c>
      <c r="G12" s="51">
        <v>99.552614220719306</v>
      </c>
      <c r="H12" s="51">
        <v>96.622582939775896</v>
      </c>
    </row>
    <row r="13" spans="1:8" ht="52.5" customHeight="1">
      <c r="A13" s="80" t="s">
        <v>160</v>
      </c>
      <c r="B13" s="81">
        <v>94.539548234610706</v>
      </c>
      <c r="C13" s="81">
        <v>93.835370163461803</v>
      </c>
      <c r="D13" s="81">
        <v>96.166868492524202</v>
      </c>
      <c r="E13" s="82"/>
      <c r="F13" s="81">
        <v>95.234717076019294</v>
      </c>
      <c r="G13" s="81">
        <v>95.441893779804403</v>
      </c>
      <c r="H13" s="81">
        <v>94.808365575393097</v>
      </c>
    </row>
    <row r="14" spans="1:8" ht="26.25" customHeight="1">
      <c r="A14" s="80" t="s">
        <v>161</v>
      </c>
      <c r="B14" s="81">
        <v>2.0903841401131</v>
      </c>
      <c r="C14" s="81">
        <v>2.0023732351367798</v>
      </c>
      <c r="D14" s="81">
        <v>2.2937729340180102</v>
      </c>
      <c r="E14" s="82"/>
      <c r="F14" s="81">
        <v>2.02506257330896</v>
      </c>
      <c r="G14" s="81">
        <v>1.2502130568477701</v>
      </c>
      <c r="H14" s="81">
        <v>3.6757356007368398</v>
      </c>
    </row>
    <row r="15" spans="1:8" ht="26.25" customHeight="1">
      <c r="A15" s="80" t="s">
        <v>162</v>
      </c>
      <c r="B15" s="81">
        <v>3.1549790974121099</v>
      </c>
      <c r="C15" s="81">
        <v>4.00722321897537</v>
      </c>
      <c r="D15" s="81">
        <v>1.0930476151449</v>
      </c>
      <c r="E15" s="82"/>
      <c r="F15" s="81">
        <v>2.3853886462285798</v>
      </c>
      <c r="G15" s="81">
        <v>3.18785064544024</v>
      </c>
      <c r="H15" s="81">
        <v>0.67589235114908197</v>
      </c>
    </row>
    <row r="16" spans="1:8" ht="26.25" customHeight="1">
      <c r="A16" s="80" t="s">
        <v>221</v>
      </c>
      <c r="B16" s="81">
        <v>0.21508852786410301</v>
      </c>
      <c r="C16" s="81">
        <v>0.155033382426084</v>
      </c>
      <c r="D16" s="81">
        <v>0.44631095831286399</v>
      </c>
      <c r="E16" s="83"/>
      <c r="F16" s="81">
        <v>0.354831704443202</v>
      </c>
      <c r="G16" s="81">
        <v>0.120042517907545</v>
      </c>
      <c r="H16" s="81">
        <v>0.84000647272100304</v>
      </c>
    </row>
    <row r="17" spans="1:8" ht="15" customHeight="1">
      <c r="A17" s="37"/>
      <c r="B17" s="37"/>
      <c r="C17" s="37"/>
      <c r="D17" s="37"/>
      <c r="E17" s="37"/>
      <c r="F17" s="37"/>
      <c r="G17" s="37"/>
      <c r="H17" s="37"/>
    </row>
    <row r="18" spans="1:8" ht="15" customHeight="1">
      <c r="A18" s="84"/>
      <c r="B18" s="84"/>
      <c r="C18" s="84"/>
      <c r="D18" s="84"/>
      <c r="E18" s="84"/>
      <c r="F18" s="84"/>
      <c r="G18" s="84"/>
      <c r="H18" s="84"/>
    </row>
    <row r="19" spans="1:8" ht="15" customHeight="1">
      <c r="A19" s="85"/>
      <c r="B19" s="85"/>
      <c r="C19" s="85"/>
      <c r="D19" s="85"/>
      <c r="E19" s="85"/>
      <c r="F19" s="85"/>
      <c r="G19" s="85"/>
      <c r="H19" s="85"/>
    </row>
    <row r="20" spans="1:8" ht="15" customHeight="1">
      <c r="A20" s="85"/>
      <c r="B20" s="85"/>
      <c r="C20" s="85"/>
      <c r="D20" s="85"/>
      <c r="E20" s="85"/>
      <c r="F20" s="85"/>
      <c r="G20" s="85"/>
      <c r="H20" s="85"/>
    </row>
    <row r="21" spans="1:8" ht="15" customHeight="1">
      <c r="A21" s="370" t="s">
        <v>163</v>
      </c>
      <c r="B21" s="370"/>
      <c r="C21" s="370"/>
      <c r="D21" s="370"/>
      <c r="E21" s="370"/>
      <c r="F21" s="370"/>
      <c r="G21" s="370"/>
      <c r="H21" s="370"/>
    </row>
    <row r="22" spans="1:8" ht="15" customHeight="1">
      <c r="A22" s="340" t="s">
        <v>164</v>
      </c>
      <c r="B22" s="340"/>
      <c r="C22" s="340"/>
      <c r="D22" s="340"/>
      <c r="E22" s="340"/>
      <c r="F22" s="340"/>
      <c r="G22" s="340"/>
      <c r="H22" s="340"/>
    </row>
    <row r="23" spans="1:8" ht="15" customHeight="1">
      <c r="A23" s="86"/>
      <c r="B23" s="86"/>
      <c r="C23" s="86"/>
      <c r="D23" s="87"/>
      <c r="E23" s="87"/>
      <c r="F23" s="88"/>
      <c r="G23" s="88"/>
      <c r="H23" s="89"/>
    </row>
    <row r="24" spans="1:8" ht="45" customHeight="1">
      <c r="A24" s="322" t="s">
        <v>165</v>
      </c>
      <c r="B24" s="404"/>
      <c r="C24" s="404"/>
      <c r="D24" s="404"/>
      <c r="E24" s="404"/>
      <c r="F24" s="90"/>
      <c r="G24" s="405" t="s">
        <v>166</v>
      </c>
      <c r="H24" s="405"/>
    </row>
    <row r="25" spans="1:8" ht="18.75" customHeight="1">
      <c r="A25" s="404"/>
      <c r="B25" s="404"/>
      <c r="C25" s="404"/>
      <c r="D25" s="404"/>
      <c r="E25" s="404"/>
      <c r="F25" s="90"/>
      <c r="G25" s="91">
        <v>2019</v>
      </c>
      <c r="H25" s="91">
        <v>2020</v>
      </c>
    </row>
    <row r="26" spans="1:8" s="71" customFormat="1" ht="15" customHeight="1">
      <c r="A26" s="92"/>
      <c r="B26" s="92"/>
      <c r="C26" s="92"/>
      <c r="D26" s="92"/>
      <c r="E26" s="93"/>
      <c r="F26" s="92"/>
      <c r="G26" s="92"/>
      <c r="H26" s="92"/>
    </row>
    <row r="27" spans="1:8" ht="22.5" customHeight="1">
      <c r="A27" s="37" t="s">
        <v>156</v>
      </c>
      <c r="B27" s="44"/>
      <c r="C27" s="44"/>
      <c r="D27" s="44"/>
      <c r="E27" s="44"/>
      <c r="F27" s="36"/>
      <c r="G27" s="77">
        <v>100.04421351671994</v>
      </c>
      <c r="H27" s="77">
        <v>99.999227956735226</v>
      </c>
    </row>
    <row r="28" spans="1:8" ht="26.25" customHeight="1">
      <c r="A28" s="402" t="s">
        <v>167</v>
      </c>
      <c r="B28" s="402"/>
      <c r="C28" s="402"/>
      <c r="D28" s="402"/>
      <c r="E28" s="402"/>
      <c r="F28" s="36"/>
      <c r="G28" s="94">
        <v>70.900000000000006</v>
      </c>
      <c r="H28" s="94">
        <v>65.099999999999994</v>
      </c>
    </row>
    <row r="29" spans="1:8" ht="26.25" customHeight="1">
      <c r="A29" s="402" t="s">
        <v>168</v>
      </c>
      <c r="B29" s="402"/>
      <c r="C29" s="402"/>
      <c r="D29" s="402"/>
      <c r="E29" s="402"/>
      <c r="F29" s="36"/>
      <c r="G29" s="94">
        <v>18.544985559984699</v>
      </c>
      <c r="H29" s="94">
        <v>24.1</v>
      </c>
    </row>
    <row r="30" spans="1:8" ht="26.25" customHeight="1">
      <c r="A30" s="402" t="s">
        <v>169</v>
      </c>
      <c r="B30" s="402"/>
      <c r="C30" s="402"/>
      <c r="D30" s="402"/>
      <c r="E30" s="402"/>
      <c r="F30" s="36"/>
      <c r="G30" s="94">
        <v>1.5</v>
      </c>
      <c r="H30" s="94">
        <v>0.8</v>
      </c>
    </row>
    <row r="31" spans="1:8" ht="26.25" customHeight="1">
      <c r="A31" s="402" t="s">
        <v>170</v>
      </c>
      <c r="B31" s="402"/>
      <c r="C31" s="402"/>
      <c r="D31" s="402"/>
      <c r="E31" s="402"/>
      <c r="F31" s="36"/>
      <c r="G31" s="94">
        <v>3.6</v>
      </c>
      <c r="H31" s="94">
        <v>2.2999999999999998</v>
      </c>
    </row>
    <row r="32" spans="1:8" ht="26.25" customHeight="1">
      <c r="A32" s="402" t="s">
        <v>171</v>
      </c>
      <c r="B32" s="402"/>
      <c r="C32" s="402"/>
      <c r="D32" s="402"/>
      <c r="E32" s="402"/>
      <c r="F32" s="36"/>
      <c r="G32" s="94">
        <v>3.7518148375341198</v>
      </c>
      <c r="H32" s="94">
        <v>3.7518148375341198</v>
      </c>
    </row>
    <row r="33" spans="1:8" ht="26.25" customHeight="1">
      <c r="A33" s="402" t="s">
        <v>172</v>
      </c>
      <c r="B33" s="402"/>
      <c r="C33" s="402"/>
      <c r="D33" s="402"/>
      <c r="E33" s="402"/>
      <c r="F33" s="36"/>
      <c r="G33" s="94">
        <v>1.74741311920113</v>
      </c>
      <c r="H33" s="95">
        <v>3.9474131192011299</v>
      </c>
    </row>
    <row r="34" spans="1:8">
      <c r="A34" s="89"/>
      <c r="B34" s="89"/>
      <c r="C34" s="89"/>
      <c r="D34" s="89"/>
      <c r="E34" s="89"/>
      <c r="F34" s="89"/>
      <c r="G34" s="89"/>
      <c r="H34" s="89"/>
    </row>
    <row r="35" spans="1:8">
      <c r="A35" s="36"/>
      <c r="B35" s="36"/>
      <c r="C35" s="96"/>
      <c r="D35" s="36"/>
      <c r="E35" s="36"/>
      <c r="F35" s="36"/>
      <c r="G35" s="36"/>
      <c r="H35" s="36"/>
    </row>
  </sheetData>
  <sheetProtection password="DD6C" sheet="1" objects="1" scenarios="1"/>
  <mergeCells count="24">
    <mergeCell ref="A1:H1"/>
    <mergeCell ref="A2:H2"/>
    <mergeCell ref="B4:D4"/>
    <mergeCell ref="F4:H4"/>
    <mergeCell ref="B7:D7"/>
    <mergeCell ref="F7:H7"/>
    <mergeCell ref="F5:F6"/>
    <mergeCell ref="G5:G6"/>
    <mergeCell ref="H5:H6"/>
    <mergeCell ref="A30:E30"/>
    <mergeCell ref="A31:E31"/>
    <mergeCell ref="A32:E32"/>
    <mergeCell ref="A33:E33"/>
    <mergeCell ref="A4:A7"/>
    <mergeCell ref="B5:B6"/>
    <mergeCell ref="C5:C6"/>
    <mergeCell ref="D5:D6"/>
    <mergeCell ref="E5:E6"/>
    <mergeCell ref="A24:E25"/>
    <mergeCell ref="A21:H21"/>
    <mergeCell ref="A22:H22"/>
    <mergeCell ref="G24:H24"/>
    <mergeCell ref="A28:E28"/>
    <mergeCell ref="A29:E29"/>
  </mergeCells>
  <pageMargins left="0.69930555555555596" right="0.69930555555555596" top="0.75" bottom="0.75" header="0.30972222222222201" footer="0.30972222222222201"/>
  <pageSetup paperSize="9" scale="90" orientation="portrait" r:id="rId1"/>
  <headerFooter>
    <oddFooter>&amp;C&amp;"Century Gothic"&amp;10  36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view="pageBreakPreview" zoomScaleSheetLayoutView="100" workbookViewId="0">
      <selection activeCell="C15" sqref="A1:XFD1048576"/>
    </sheetView>
  </sheetViews>
  <sheetFormatPr defaultColWidth="9.140625" defaultRowHeight="16.5"/>
  <cols>
    <col min="1" max="1" width="22.7109375" style="35" customWidth="1"/>
    <col min="2" max="2" width="34.7109375" style="35" customWidth="1"/>
    <col min="3" max="4" width="15.7109375" style="35" customWidth="1"/>
    <col min="5" max="16384" width="9.140625" style="35"/>
  </cols>
  <sheetData>
    <row r="1" spans="1:4" ht="15" customHeight="1">
      <c r="A1" s="376" t="s">
        <v>173</v>
      </c>
      <c r="B1" s="376"/>
      <c r="C1" s="376"/>
      <c r="D1" s="376"/>
    </row>
    <row r="2" spans="1:4" ht="15" customHeight="1">
      <c r="A2" s="377" t="s">
        <v>174</v>
      </c>
      <c r="B2" s="377"/>
      <c r="C2" s="377"/>
      <c r="D2" s="377"/>
    </row>
    <row r="3" spans="1:4" ht="15" customHeight="1">
      <c r="A3" s="36"/>
      <c r="B3" s="37"/>
      <c r="C3" s="38"/>
      <c r="D3" s="39"/>
    </row>
    <row r="4" spans="1:4" ht="16.5" customHeight="1">
      <c r="A4" s="40" t="s">
        <v>175</v>
      </c>
      <c r="B4" s="40" t="s">
        <v>176</v>
      </c>
      <c r="C4" s="328" t="s">
        <v>177</v>
      </c>
      <c r="D4" s="328"/>
    </row>
    <row r="5" spans="1:4">
      <c r="A5" s="42" t="s">
        <v>178</v>
      </c>
      <c r="B5" s="42" t="s">
        <v>179</v>
      </c>
      <c r="C5" s="43">
        <v>2019</v>
      </c>
      <c r="D5" s="43">
        <v>2020</v>
      </c>
    </row>
    <row r="6" spans="1:4" s="34" customFormat="1" ht="13.5" customHeight="1">
      <c r="A6" s="23"/>
      <c r="B6" s="23"/>
      <c r="C6" s="44"/>
      <c r="D6" s="44"/>
    </row>
    <row r="7" spans="1:4" ht="18" customHeight="1">
      <c r="A7" s="45" t="s">
        <v>30</v>
      </c>
      <c r="B7" s="46"/>
      <c r="C7" s="47"/>
      <c r="D7" s="48"/>
    </row>
    <row r="8" spans="1:4" ht="18" customHeight="1">
      <c r="A8" s="49" t="s">
        <v>30</v>
      </c>
      <c r="B8" s="50"/>
      <c r="C8" s="51">
        <v>99.999999999999986</v>
      </c>
      <c r="D8" s="51">
        <v>99.999999999999886</v>
      </c>
    </row>
    <row r="9" spans="1:4" ht="18" customHeight="1">
      <c r="A9" s="49"/>
      <c r="B9" s="45" t="s">
        <v>180</v>
      </c>
      <c r="C9" s="52">
        <v>26.366618088373301</v>
      </c>
      <c r="D9" s="52">
        <v>21.039006938722999</v>
      </c>
    </row>
    <row r="10" spans="1:4" ht="18" customHeight="1">
      <c r="A10" s="53"/>
      <c r="B10" s="45" t="s">
        <v>181</v>
      </c>
      <c r="C10" s="52">
        <v>37.8456186695607</v>
      </c>
      <c r="D10" s="52">
        <v>39.260553231049101</v>
      </c>
    </row>
    <row r="11" spans="1:4" ht="18" customHeight="1">
      <c r="A11" s="53"/>
      <c r="B11" s="37" t="s">
        <v>182</v>
      </c>
      <c r="C11" s="52">
        <v>24.065073452525599</v>
      </c>
      <c r="D11" s="52">
        <v>25.651118385911701</v>
      </c>
    </row>
    <row r="12" spans="1:4" ht="18" customHeight="1">
      <c r="A12" s="53"/>
      <c r="B12" s="45" t="s">
        <v>183</v>
      </c>
      <c r="C12" s="52">
        <v>11.7226897895404</v>
      </c>
      <c r="D12" s="52">
        <v>14.049321444316099</v>
      </c>
    </row>
    <row r="13" spans="1:4" ht="15" customHeight="1">
      <c r="A13" s="53"/>
      <c r="B13" s="53"/>
      <c r="C13" s="54"/>
      <c r="D13" s="54"/>
    </row>
    <row r="14" spans="1:4" ht="18" customHeight="1">
      <c r="A14" s="55" t="s">
        <v>184</v>
      </c>
      <c r="B14" s="46"/>
      <c r="C14" s="54"/>
      <c r="D14" s="54"/>
    </row>
    <row r="15" spans="1:4" ht="18" customHeight="1">
      <c r="A15" s="49" t="s">
        <v>30</v>
      </c>
      <c r="B15" s="50"/>
      <c r="C15" s="56">
        <v>100.0000000000001</v>
      </c>
      <c r="D15" s="56">
        <v>100</v>
      </c>
    </row>
    <row r="16" spans="1:4" ht="18" customHeight="1">
      <c r="A16" s="49"/>
      <c r="B16" s="45" t="s">
        <v>180</v>
      </c>
      <c r="C16" s="52">
        <v>25.507437893917</v>
      </c>
      <c r="D16" s="52">
        <v>20.816805302212199</v>
      </c>
    </row>
    <row r="17" spans="1:4" ht="18" customHeight="1">
      <c r="A17" s="53"/>
      <c r="B17" s="45" t="s">
        <v>181</v>
      </c>
      <c r="C17" s="52">
        <v>38.562966653738897</v>
      </c>
      <c r="D17" s="52">
        <v>39.196710999265299</v>
      </c>
    </row>
    <row r="18" spans="1:4" ht="18" customHeight="1">
      <c r="A18" s="53"/>
      <c r="B18" s="45" t="s">
        <v>182</v>
      </c>
      <c r="C18" s="52">
        <v>23.9817941934215</v>
      </c>
      <c r="D18" s="52">
        <v>25.760694475944199</v>
      </c>
    </row>
    <row r="19" spans="1:4" ht="18" customHeight="1">
      <c r="A19" s="53"/>
      <c r="B19" s="45" t="s">
        <v>183</v>
      </c>
      <c r="C19" s="52">
        <v>11.9478012589227</v>
      </c>
      <c r="D19" s="52">
        <v>14.2257892225783</v>
      </c>
    </row>
    <row r="20" spans="1:4" ht="15" customHeight="1">
      <c r="A20" s="53"/>
      <c r="B20" s="53"/>
      <c r="C20" s="52"/>
      <c r="D20" s="52"/>
    </row>
    <row r="21" spans="1:4" ht="18" customHeight="1">
      <c r="A21" s="45" t="s">
        <v>185</v>
      </c>
      <c r="B21" s="57"/>
      <c r="C21" s="52"/>
      <c r="D21" s="52"/>
    </row>
    <row r="22" spans="1:4" ht="18" customHeight="1">
      <c r="A22" s="49" t="s">
        <v>30</v>
      </c>
      <c r="B22" s="50"/>
      <c r="C22" s="56">
        <v>100</v>
      </c>
      <c r="D22" s="56">
        <v>100</v>
      </c>
    </row>
    <row r="23" spans="1:4" ht="18" customHeight="1">
      <c r="A23" s="49"/>
      <c r="B23" s="45" t="s">
        <v>180</v>
      </c>
      <c r="C23" s="52">
        <v>27.2133979130999</v>
      </c>
      <c r="D23" s="52">
        <v>21.2852824374168</v>
      </c>
    </row>
    <row r="24" spans="1:4" ht="18" customHeight="1">
      <c r="A24" s="53"/>
      <c r="B24" s="45" t="s">
        <v>181</v>
      </c>
      <c r="C24" s="52">
        <v>37.158479692279997</v>
      </c>
      <c r="D24" s="52">
        <v>39.303679058925397</v>
      </c>
    </row>
    <row r="25" spans="1:4" ht="18" customHeight="1">
      <c r="A25" s="53"/>
      <c r="B25" s="45" t="s">
        <v>182</v>
      </c>
      <c r="C25" s="52">
        <v>24.127295087266099</v>
      </c>
      <c r="D25" s="52">
        <v>25.549361997367299</v>
      </c>
    </row>
    <row r="26" spans="1:4" ht="18" customHeight="1">
      <c r="A26" s="53"/>
      <c r="B26" s="45" t="s">
        <v>183</v>
      </c>
      <c r="C26" s="52">
        <v>11.500827307353999</v>
      </c>
      <c r="D26" s="52">
        <v>13.8616765062905</v>
      </c>
    </row>
    <row r="27" spans="1:4" ht="18" customHeight="1">
      <c r="A27" s="58"/>
      <c r="B27" s="58"/>
      <c r="C27" s="59"/>
      <c r="D27" s="60"/>
    </row>
    <row r="28" spans="1:4" ht="16.5" customHeight="1">
      <c r="A28" s="6"/>
      <c r="B28" s="6" t="s">
        <v>186</v>
      </c>
      <c r="C28" s="322" t="s">
        <v>177</v>
      </c>
      <c r="D28" s="322"/>
    </row>
    <row r="29" spans="1:4">
      <c r="A29" s="42"/>
      <c r="B29" s="42" t="s">
        <v>187</v>
      </c>
      <c r="C29" s="43">
        <v>2019</v>
      </c>
      <c r="D29" s="43">
        <v>2020</v>
      </c>
    </row>
    <row r="30" spans="1:4" s="34" customFormat="1" ht="13.5" customHeight="1">
      <c r="A30" s="23"/>
      <c r="B30" s="23"/>
      <c r="C30" s="62"/>
      <c r="D30" s="62"/>
    </row>
    <row r="31" spans="1:4" ht="18" customHeight="1">
      <c r="A31" s="49" t="s">
        <v>30</v>
      </c>
      <c r="B31" s="50"/>
      <c r="C31" s="51">
        <v>100.00000000000009</v>
      </c>
      <c r="D31" s="56">
        <v>100.00000000000006</v>
      </c>
    </row>
    <row r="32" spans="1:4" ht="18" customHeight="1">
      <c r="A32" s="53"/>
      <c r="B32" s="45" t="s">
        <v>188</v>
      </c>
      <c r="C32" s="63">
        <v>64.242314293871303</v>
      </c>
      <c r="D32" s="63">
        <v>60.058290399641201</v>
      </c>
    </row>
    <row r="33" spans="1:4" ht="18" customHeight="1">
      <c r="A33" s="53"/>
      <c r="B33" s="45" t="s">
        <v>189</v>
      </c>
      <c r="C33" s="63">
        <v>21.7068078146362</v>
      </c>
      <c r="D33" s="63">
        <v>21.622061554869301</v>
      </c>
    </row>
    <row r="34" spans="1:4" ht="18" customHeight="1">
      <c r="A34" s="53"/>
      <c r="B34" s="45" t="s">
        <v>190</v>
      </c>
      <c r="C34" s="63">
        <v>6.4561864197542302</v>
      </c>
      <c r="D34" s="63">
        <v>7.0822181798400603</v>
      </c>
    </row>
    <row r="35" spans="1:4" ht="18" customHeight="1">
      <c r="A35" s="64"/>
      <c r="B35" s="45" t="s">
        <v>191</v>
      </c>
      <c r="C35" s="63">
        <v>7.5946914717383498</v>
      </c>
      <c r="D35" s="63">
        <v>11.237429865649499</v>
      </c>
    </row>
    <row r="36" spans="1:4" ht="18" customHeight="1">
      <c r="A36" s="65"/>
      <c r="B36" s="66"/>
      <c r="C36" s="67"/>
      <c r="D36" s="67"/>
    </row>
    <row r="37" spans="1:4" ht="16.5" customHeight="1">
      <c r="A37" s="68"/>
      <c r="B37" s="6" t="s">
        <v>192</v>
      </c>
      <c r="C37" s="342" t="s">
        <v>177</v>
      </c>
      <c r="D37" s="342"/>
    </row>
    <row r="38" spans="1:4">
      <c r="A38" s="69"/>
      <c r="B38" s="9" t="s">
        <v>193</v>
      </c>
      <c r="C38" s="10">
        <v>2019</v>
      </c>
      <c r="D38" s="10">
        <v>2020</v>
      </c>
    </row>
    <row r="39" spans="1:4" s="34" customFormat="1" ht="13.5" customHeight="1">
      <c r="A39" s="23"/>
      <c r="B39" s="23"/>
      <c r="C39" s="62"/>
      <c r="D39" s="62"/>
    </row>
    <row r="40" spans="1:4" ht="18" customHeight="1">
      <c r="A40" s="70" t="s">
        <v>30</v>
      </c>
      <c r="B40" s="50"/>
      <c r="C40" s="51">
        <v>100.00000000000001</v>
      </c>
      <c r="D40" s="56">
        <v>99.999999999999915</v>
      </c>
    </row>
    <row r="41" spans="1:4" ht="18" customHeight="1">
      <c r="A41" s="49"/>
      <c r="B41" s="45" t="s">
        <v>194</v>
      </c>
      <c r="C41" s="52">
        <v>31.1262477782536</v>
      </c>
      <c r="D41" s="52">
        <v>33.784787991401998</v>
      </c>
    </row>
    <row r="42" spans="1:4" ht="18" customHeight="1">
      <c r="A42" s="53"/>
      <c r="B42" s="45" t="s">
        <v>195</v>
      </c>
      <c r="C42" s="52">
        <v>51.714308147316203</v>
      </c>
      <c r="D42" s="52">
        <v>49.5829308117331</v>
      </c>
    </row>
    <row r="43" spans="1:4" ht="18" customHeight="1">
      <c r="A43" s="53"/>
      <c r="B43" s="45" t="s">
        <v>196</v>
      </c>
      <c r="C43" s="52">
        <v>14.255504380349</v>
      </c>
      <c r="D43" s="52">
        <v>13.5443650518915</v>
      </c>
    </row>
    <row r="44" spans="1:4" ht="27" customHeight="1">
      <c r="A44" s="53"/>
      <c r="B44" s="45" t="s">
        <v>197</v>
      </c>
      <c r="C44" s="52">
        <v>2.9039396940812199</v>
      </c>
      <c r="D44" s="52">
        <v>3.0879161449733199</v>
      </c>
    </row>
    <row r="45" spans="1:4" ht="18" customHeight="1">
      <c r="A45" s="66"/>
      <c r="B45" s="66"/>
      <c r="C45" s="67"/>
      <c r="D45" s="67"/>
    </row>
  </sheetData>
  <sheetProtection password="DD6C" sheet="1" objects="1" scenarios="1"/>
  <mergeCells count="5">
    <mergeCell ref="A1:D1"/>
    <mergeCell ref="A2:D2"/>
    <mergeCell ref="C4:D4"/>
    <mergeCell ref="C28:D28"/>
    <mergeCell ref="C37:D37"/>
  </mergeCells>
  <pageMargins left="0.70972222222222203" right="0.70972222222222203" top="0.75" bottom="0.75" header="0.30972222222222201" footer="0.30972222222222201"/>
  <pageSetup paperSize="9" scale="95" orientation="portrait" r:id="rId1"/>
  <headerFooter>
    <oddFooter>&amp;C&amp;"Century Gothic"&amp;10 37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tabSelected="1" view="pageBreakPreview" zoomScaleSheetLayoutView="100" workbookViewId="0">
      <selection activeCell="K17" sqref="K17"/>
    </sheetView>
  </sheetViews>
  <sheetFormatPr defaultColWidth="9.140625" defaultRowHeight="15"/>
  <cols>
    <col min="1" max="1" width="22.7109375" style="3" customWidth="1"/>
    <col min="2" max="2" width="34.7109375" style="3" customWidth="1"/>
    <col min="3" max="4" width="15.7109375" style="3" customWidth="1"/>
    <col min="5" max="16384" width="9.140625" style="3"/>
  </cols>
  <sheetData>
    <row r="1" spans="1:4" s="1" customFormat="1" ht="15" customHeight="1">
      <c r="A1" s="406" t="s">
        <v>198</v>
      </c>
      <c r="B1" s="406"/>
      <c r="C1" s="406"/>
      <c r="D1" s="406"/>
    </row>
    <row r="2" spans="1:4" s="1" customFormat="1" ht="15" customHeight="1">
      <c r="A2" s="407" t="s">
        <v>199</v>
      </c>
      <c r="B2" s="407"/>
      <c r="C2" s="407"/>
      <c r="D2" s="407"/>
    </row>
    <row r="3" spans="1:4">
      <c r="A3" s="4"/>
      <c r="B3" s="4"/>
      <c r="C3" s="4"/>
      <c r="D3" s="4"/>
    </row>
    <row r="4" spans="1:4" ht="16.5" customHeight="1">
      <c r="A4" s="5"/>
      <c r="B4" s="6" t="s">
        <v>200</v>
      </c>
      <c r="C4" s="342" t="s">
        <v>177</v>
      </c>
      <c r="D4" s="342"/>
    </row>
    <row r="5" spans="1:4" ht="16.5" customHeight="1">
      <c r="A5" s="8"/>
      <c r="B5" s="9" t="s">
        <v>201</v>
      </c>
      <c r="C5" s="10">
        <v>2019</v>
      </c>
      <c r="D5" s="10">
        <v>2020</v>
      </c>
    </row>
    <row r="6" spans="1:4" s="2" customFormat="1" ht="13.5" customHeight="1">
      <c r="A6" s="11"/>
      <c r="B6" s="12"/>
      <c r="C6" s="13"/>
      <c r="D6" s="13"/>
    </row>
    <row r="7" spans="1:4" ht="22.5" customHeight="1">
      <c r="A7" s="14" t="s">
        <v>202</v>
      </c>
      <c r="B7" s="15"/>
      <c r="C7" s="16">
        <v>99.999999999999986</v>
      </c>
      <c r="D7" s="16">
        <v>100.00000000000003</v>
      </c>
    </row>
    <row r="8" spans="1:4" ht="22.5" customHeight="1">
      <c r="A8" s="14"/>
      <c r="B8" s="17" t="s">
        <v>203</v>
      </c>
      <c r="C8" s="18">
        <v>7.5</v>
      </c>
      <c r="D8" s="18">
        <v>4.61889002610293</v>
      </c>
    </row>
    <row r="9" spans="1:4" ht="22.5" customHeight="1">
      <c r="A9" s="19"/>
      <c r="B9" s="17" t="s">
        <v>204</v>
      </c>
      <c r="C9" s="18">
        <v>35.700000000000003</v>
      </c>
      <c r="D9" s="18">
        <v>30.009632968600702</v>
      </c>
    </row>
    <row r="10" spans="1:4" ht="22.5" customHeight="1">
      <c r="A10" s="19"/>
      <c r="B10" s="17" t="s">
        <v>205</v>
      </c>
      <c r="C10" s="18">
        <v>26.4</v>
      </c>
      <c r="D10" s="18">
        <v>25.735478057242201</v>
      </c>
    </row>
    <row r="11" spans="1:4" ht="22.5" customHeight="1">
      <c r="A11" s="19"/>
      <c r="B11" s="17" t="s">
        <v>206</v>
      </c>
      <c r="C11" s="18">
        <v>23.3</v>
      </c>
      <c r="D11" s="18">
        <v>27.7709710318526</v>
      </c>
    </row>
    <row r="12" spans="1:4" ht="22.5" customHeight="1">
      <c r="A12" s="19"/>
      <c r="B12" s="17" t="s">
        <v>207</v>
      </c>
      <c r="C12" s="18">
        <v>7.1</v>
      </c>
      <c r="D12" s="18">
        <v>11.865027916201599</v>
      </c>
    </row>
    <row r="13" spans="1:4" ht="18" customHeight="1">
      <c r="A13" s="20"/>
      <c r="B13" s="21"/>
      <c r="C13" s="22"/>
      <c r="D13" s="20"/>
    </row>
    <row r="14" spans="1:4" ht="16.5" customHeight="1">
      <c r="A14" s="23"/>
      <c r="B14" s="24" t="s">
        <v>208</v>
      </c>
      <c r="C14" s="342" t="s">
        <v>177</v>
      </c>
      <c r="D14" s="342"/>
    </row>
    <row r="15" spans="1:4" ht="16.5" customHeight="1">
      <c r="A15" s="25"/>
      <c r="B15" s="26" t="s">
        <v>209</v>
      </c>
      <c r="C15" s="10">
        <v>2019</v>
      </c>
      <c r="D15" s="10">
        <v>2020</v>
      </c>
    </row>
    <row r="16" spans="1:4" s="2" customFormat="1" ht="13.5" customHeight="1">
      <c r="A16" s="11"/>
      <c r="B16" s="12"/>
      <c r="C16" s="13"/>
      <c r="D16" s="13"/>
    </row>
    <row r="17" spans="1:4" ht="22.5" customHeight="1">
      <c r="A17" s="14" t="s">
        <v>202</v>
      </c>
      <c r="B17" s="15"/>
      <c r="C17" s="27">
        <v>100</v>
      </c>
      <c r="D17" s="27">
        <v>100</v>
      </c>
    </row>
    <row r="18" spans="1:4" ht="37.5" customHeight="1">
      <c r="A18" s="14"/>
      <c r="B18" s="17" t="s">
        <v>210</v>
      </c>
      <c r="C18" s="16">
        <v>61.36302617300796</v>
      </c>
      <c r="D18" s="16">
        <v>62.843993392016451</v>
      </c>
    </row>
    <row r="19" spans="1:4" ht="37.5" customHeight="1">
      <c r="A19" s="28"/>
      <c r="B19" s="29" t="s">
        <v>211</v>
      </c>
      <c r="C19" s="18">
        <v>17.350869340630201</v>
      </c>
      <c r="D19" s="18">
        <v>17.447001891594802</v>
      </c>
    </row>
    <row r="20" spans="1:4" ht="37.5" customHeight="1">
      <c r="A20" s="28"/>
      <c r="B20" s="29" t="s">
        <v>212</v>
      </c>
      <c r="C20" s="18">
        <v>2.5492141787154599</v>
      </c>
      <c r="D20" s="18">
        <v>3.4277426299477201</v>
      </c>
    </row>
    <row r="21" spans="1:4" ht="37.5" customHeight="1">
      <c r="A21" s="28"/>
      <c r="B21" s="29" t="s">
        <v>213</v>
      </c>
      <c r="C21" s="18">
        <v>19.3604083904691</v>
      </c>
      <c r="D21" s="18">
        <v>20.089664081888401</v>
      </c>
    </row>
    <row r="22" spans="1:4" ht="37.5" customHeight="1">
      <c r="A22" s="28"/>
      <c r="B22" s="29" t="s">
        <v>214</v>
      </c>
      <c r="C22" s="18">
        <v>10.0215292271709</v>
      </c>
      <c r="D22" s="18">
        <v>9.5725772300349199</v>
      </c>
    </row>
    <row r="23" spans="1:4" ht="37.5" customHeight="1">
      <c r="A23" s="28"/>
      <c r="B23" s="29" t="s">
        <v>215</v>
      </c>
      <c r="C23" s="18">
        <v>12.081005036022299</v>
      </c>
      <c r="D23" s="18">
        <v>12.3070075585506</v>
      </c>
    </row>
    <row r="24" spans="1:4" ht="37.5" customHeight="1">
      <c r="A24" s="28"/>
      <c r="B24" s="17" t="s">
        <v>216</v>
      </c>
      <c r="C24" s="16">
        <v>38.636973826992033</v>
      </c>
      <c r="D24" s="16">
        <v>37.156006607983549</v>
      </c>
    </row>
    <row r="25" spans="1:4" ht="37.5" customHeight="1">
      <c r="A25" s="28"/>
      <c r="B25" s="30" t="s">
        <v>217</v>
      </c>
      <c r="C25" s="18">
        <v>4.1604365680337398</v>
      </c>
      <c r="D25" s="18">
        <v>5.2470902228171497</v>
      </c>
    </row>
    <row r="26" spans="1:4" ht="37.5" customHeight="1">
      <c r="A26" s="28"/>
      <c r="B26" s="30" t="s">
        <v>218</v>
      </c>
      <c r="C26" s="18">
        <v>4.4384871154619896</v>
      </c>
      <c r="D26" s="18">
        <v>3.7389219205467001</v>
      </c>
    </row>
    <row r="27" spans="1:4" ht="37.5" customHeight="1">
      <c r="A27" s="28"/>
      <c r="B27" s="30" t="s">
        <v>219</v>
      </c>
      <c r="C27" s="18">
        <v>12.1680564195911</v>
      </c>
      <c r="D27" s="18">
        <v>12.224083759369201</v>
      </c>
    </row>
    <row r="28" spans="1:4" ht="37.5" customHeight="1">
      <c r="A28" s="28"/>
      <c r="B28" s="30" t="s">
        <v>220</v>
      </c>
      <c r="C28" s="18">
        <v>17.8699937239052</v>
      </c>
      <c r="D28" s="18">
        <v>15.945910705250499</v>
      </c>
    </row>
    <row r="29" spans="1:4" ht="23.25" customHeight="1">
      <c r="A29" s="31"/>
      <c r="B29" s="31"/>
      <c r="C29" s="32"/>
      <c r="D29" s="33"/>
    </row>
  </sheetData>
  <sheetProtection password="DD6C" sheet="1" objects="1" scenarios="1"/>
  <mergeCells count="4">
    <mergeCell ref="A1:D1"/>
    <mergeCell ref="A2:D2"/>
    <mergeCell ref="C4:D4"/>
    <mergeCell ref="C14:D14"/>
  </mergeCells>
  <pageMargins left="0.69930555555555596" right="0.69930555555555596" top="0.75" bottom="0.75" header="0.3" footer="0.3"/>
  <pageSetup paperSize="9" scale="95" orientation="portrait" r:id="rId1"/>
  <headerFooter>
    <oddFooter>&amp;C &amp;"Century Gothic"&amp;10 38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13</vt:i4>
      </vt:variant>
    </vt:vector>
  </HeadingPairs>
  <TitlesOfParts>
    <vt:vector size="25" baseType="lpstr">
      <vt:lpstr>1</vt:lpstr>
      <vt:lpstr>2 &amp; 3</vt:lpstr>
      <vt:lpstr>4 &amp; 5</vt:lpstr>
      <vt:lpstr>6</vt:lpstr>
      <vt:lpstr>7</vt:lpstr>
      <vt:lpstr>8A</vt:lpstr>
      <vt:lpstr>8B</vt:lpstr>
      <vt:lpstr>9</vt:lpstr>
      <vt:lpstr>10</vt:lpstr>
      <vt:lpstr>11 &amp; 12</vt:lpstr>
      <vt:lpstr>13</vt:lpstr>
      <vt:lpstr>13(2)</vt:lpstr>
      <vt:lpstr>'1'!Print_Area</vt:lpstr>
      <vt:lpstr>'10'!Print_Area</vt:lpstr>
      <vt:lpstr>'11 &amp; 12'!Print_Area</vt:lpstr>
      <vt:lpstr>'13'!Print_Area</vt:lpstr>
      <vt:lpstr>'13(2)'!Print_Area</vt:lpstr>
      <vt:lpstr>'2 &amp; 3'!Print_Area</vt:lpstr>
      <vt:lpstr>'4 &amp; 5'!Print_Area</vt:lpstr>
      <vt:lpstr>'6'!Print_Area</vt:lpstr>
      <vt:lpstr>'7'!Print_Area</vt:lpstr>
      <vt:lpstr>'8A'!Print_Area</vt:lpstr>
      <vt:lpstr>'8B'!Print_Area</vt:lpstr>
      <vt:lpstr>'9'!Print_Area</vt:lpstr>
      <vt:lpstr>'13'!Print_Titles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Noorliza Sahimi</dc:creator>
  <cp:lastModifiedBy>Othman Mohamed</cp:lastModifiedBy>
  <cp:lastPrinted>2021-06-30T03:31:43Z</cp:lastPrinted>
  <dcterms:created xsi:type="dcterms:W3CDTF">2013-06-13T06:25:00Z</dcterms:created>
  <dcterms:modified xsi:type="dcterms:W3CDTF">2021-06-30T03:35:09Z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1033-11.2.0.10176</vt:lpwstr>
  </property>
  <property fmtid="{D5CDD505-2E9C-101B-9397-08002B2CF9AE}" pid="3" name="KSOReadingLayout">
    <vt:bool>true</vt:bool>
  </property>
</Properties>
</file>